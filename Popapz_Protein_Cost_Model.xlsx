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528e91285f447a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ecision Summary" sheetId="1" r:id="R25c07efd886e4561"/>
    <x:sheet xmlns:r="http://schemas.openxmlformats.org/officeDocument/2006/relationships" name="Assumptions" sheetId="2" r:id="R9282b9529f9f408c"/>
    <x:sheet xmlns:r="http://schemas.openxmlformats.org/officeDocument/2006/relationships" name="Product Routes" sheetId="3" r:id="R8d9c7e23f1284132"/>
    <x:sheet xmlns:r="http://schemas.openxmlformats.org/officeDocument/2006/relationships" name="Manufacturing Budget" sheetId="4" r:id="R9737fe3f5ef744a7"/>
    <x:sheet xmlns:r="http://schemas.openxmlformats.org/officeDocument/2006/relationships" name="Manufacturing Workflow" sheetId="5" r:id="R5d6e61e2aae34339"/>
    <x:sheet xmlns:r="http://schemas.openxmlformats.org/officeDocument/2006/relationships" name="Manufacturer Quotes" sheetId="6" r:id="R3f39bc82c715435a"/>
    <x:sheet xmlns:r="http://schemas.openxmlformats.org/officeDocument/2006/relationships" name="Compliance Checklist" sheetId="7" r:id="R0e828795d4024348"/>
    <x:sheet xmlns:r="http://schemas.openxmlformats.org/officeDocument/2006/relationships" name="Sources" sheetId="8" r:id="Rbe5943c0c649499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[$₹-en-IN]#,##0"/>
    <x:numFmt numFmtId="201" formatCode="0.0%"/>
    <x:numFmt numFmtId="202" formatCode="#,##0"/>
  </x:numFmts>
  <x:fonts count="6">
    <x:font>
      <x:sz val="11"/>
      <x:name val="Carlito"/>
    </x:font>
    <x:font>
      <x:sz val="11"/>
      <x:color rgb="FFFFFFFF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sz val="11"/>
      <x:color rgb="FF1F2933"/>
      <x:name val="Carlito"/>
    </x:font>
    <x:font>
      <x:b/>
      <x:sz val="11"/>
      <x:color rgb="FF1F2933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8324A"/>
      </x:patternFill>
    </x:fill>
    <x:fill>
      <x:patternFill patternType="solid">
        <x:fgColor rgb="FFEAF4F6"/>
      </x:patternFill>
    </x:fill>
    <x:fill>
      <x:patternFill patternType="solid">
        <x:fgColor rgb="FF007C89"/>
      </x:patternFill>
    </x:fill>
    <x:fill>
      <x:patternFill patternType="solid">
        <x:fgColor rgb="FFEAF6EF"/>
      </x:patternFill>
    </x:fill>
    <x:fill>
      <x:patternFill patternType="solid">
        <x:fgColor rgb="FFFFF4D8"/>
      </x:patternFill>
    </x:fill>
    <x:fill>
      <x:patternFill patternType="solid">
        <x:fgColor rgb="FFF4F6F8"/>
      </x:patternFill>
    </x:fill>
  </x:fills>
  <x:borders count="5">
    <x:border/>
    <x:border>
      <x:left style="thin">
        <x:color rgb="FFD7DEE5"/>
      </x:left>
      <x:top style="thin">
        <x:color rgb="FFD7DEE5"/>
      </x:top>
      <x:bottom style="thin">
        <x:color rgb="FFD7DEE5"/>
      </x:bottom>
    </x:border>
    <x:border>
      <x:top style="thin">
        <x:color rgb="FFD7DEE5"/>
      </x:top>
      <x:bottom style="thin">
        <x:color rgb="FFD7DEE5"/>
      </x:bottom>
    </x:border>
    <x:border>
      <x:right style="thin">
        <x:color rgb="FFD7DEE5"/>
      </x:right>
      <x:top style="thin">
        <x:color rgb="FFD7DEE5"/>
      </x:top>
      <x:bottom style="thin">
        <x:color rgb="FFD7DEE5"/>
      </x:bottom>
    </x:border>
    <x:border>
      <x:left style="thin">
        <x:color rgb="FFD7DEE5"/>
      </x:left>
      <x:right style="thin">
        <x:color rgb="FFD7DEE5"/>
      </x:right>
      <x:top style="thin">
        <x:color rgb="FFD7DEE5"/>
      </x:top>
      <x:bottom style="thin">
        <x:color rgb="FFD7DEE5"/>
      </x:bottom>
    </x:border>
  </x:borders>
  <x:cellStyleXfs count="1">
    <x:xf numFmtId="0" fontId="0" fillId="0" borderId="0"/>
  </x:cellStyleXfs>
  <x:cellXfs count="2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3" fillId="2" borderId="0" xfId="0" applyNumberFormat="1" applyFont="1" applyFill="1" applyBorder="1"/>
    <x:xf numFmtId="0" fontId="0" fillId="3" borderId="0" xfId="0" applyNumberFormat="1" applyFont="1" applyFill="1" applyBorder="1"/>
    <x:xf numFmtId="0" fontId="0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1" xfId="0" applyNumberFormat="1" applyFont="1" applyFill="1" applyBorder="1"/>
    <x:xf numFmtId="0" fontId="2" fillId="4" borderId="2" xfId="0" applyNumberFormat="1" applyFont="1" applyFill="1" applyBorder="1"/>
    <x:xf numFmtId="0" fontId="2" fillId="4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4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200" fontId="4" fillId="0" borderId="4" xfId="0" applyNumberFormat="1" applyFont="1" applyFill="1" applyBorder="1" applyAlignment="1">
      <x:alignment wrapText="1"/>
    </x:xf>
    <x:xf numFmtId="0" fontId="4" fillId="5" borderId="4" xfId="0" applyNumberFormat="1" applyFont="1" applyFill="1" applyBorder="1" applyAlignment="1">
      <x:alignment wrapText="1"/>
    </x:xf>
    <x:xf numFmtId="0" fontId="4" fillId="6" borderId="4" xfId="0" applyNumberFormat="1" applyFont="1" applyFill="1" applyBorder="1" applyAlignment="1">
      <x:alignment wrapText="1"/>
    </x:xf>
    <x:xf numFmtId="0" fontId="4" fillId="3" borderId="4" xfId="0" applyNumberFormat="1" applyFont="1" applyFill="1" applyBorder="1" applyAlignment="1">
      <x:alignment wrapText="1"/>
    </x:xf>
    <x:xf numFmtId="0" fontId="4" fillId="7" borderId="4" xfId="0" applyNumberFormat="1" applyFont="1" applyFill="1" applyBorder="1" applyAlignment="1">
      <x:alignment wrapText="1"/>
    </x:xf>
    <x:xf numFmtId="0" fontId="5" fillId="7" borderId="4" xfId="0" applyNumberFormat="1" applyFont="1" applyFill="1" applyBorder="1" applyAlignment="1">
      <x:alignment wrapText="1"/>
    </x:xf>
    <x:xf numFmtId="200" fontId="4" fillId="6" borderId="4" xfId="0" applyNumberFormat="1" applyFont="1" applyFill="1" applyBorder="1" applyAlignment="1">
      <x:alignment wrapText="1"/>
    </x:xf>
    <x:xf numFmtId="201" fontId="4" fillId="6" borderId="4" xfId="0" applyNumberFormat="1" applyFont="1" applyFill="1" applyBorder="1" applyAlignment="1">
      <x:alignment wrapText="1"/>
    </x:xf>
    <x:xf numFmtId="201" fontId="4" fillId="0" borderId="4" xfId="0" applyNumberFormat="1" applyFont="1" applyFill="1" applyBorder="1" applyAlignment="1">
      <x:alignment wrapText="1"/>
    </x:xf>
    <x:xf numFmtId="202" fontId="4" fillId="6" borderId="4" xfId="0" applyNumberFormat="1" applyFont="1" applyFill="1" applyBorder="1" applyAlignment="1">
      <x:alignment wrapText="1"/>
    </x:xf>
    <x:xf numFmtId="202" fontId="4" fillId="0" borderId="4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6ceec76bd48496c" /><Relationship Type="http://schemas.openxmlformats.org/officeDocument/2006/relationships/theme" Target="/xl/theme/theme1.xml" Id="R472424fb00444538" /><Relationship Type="http://schemas.openxmlformats.org/officeDocument/2006/relationships/sharedStrings" Target="/xl/sharedStrings.xml" Id="Rae6745afff51476f" /><Relationship Type="http://schemas.openxmlformats.org/officeDocument/2006/relationships/worksheet" Target="/xl/worksheets/sheet1.xml" Id="R25c07efd886e4561" /><Relationship Type="http://schemas.openxmlformats.org/officeDocument/2006/relationships/worksheet" Target="/xl/worksheets/sheet2.xml" Id="R9282b9529f9f408c" /><Relationship Type="http://schemas.openxmlformats.org/officeDocument/2006/relationships/worksheet" Target="/xl/worksheets/sheet3.xml" Id="R8d9c7e23f1284132" /><Relationship Type="http://schemas.openxmlformats.org/officeDocument/2006/relationships/worksheet" Target="/xl/worksheets/sheet4.xml" Id="R9737fe3f5ef744a7" /><Relationship Type="http://schemas.openxmlformats.org/officeDocument/2006/relationships/worksheet" Target="/xl/worksheets/sheet5.xml" Id="R5d6e61e2aae34339" /><Relationship Type="http://schemas.openxmlformats.org/officeDocument/2006/relationships/worksheet" Target="/xl/worksheets/sheet6.xml" Id="R3f39bc82c715435a" /><Relationship Type="http://schemas.openxmlformats.org/officeDocument/2006/relationships/worksheet" Target="/xl/worksheets/sheet7.xml" Id="R0e828795d4024348" /><Relationship Type="http://schemas.openxmlformats.org/officeDocument/2006/relationships/worksheet" Target="/xl/worksheets/sheet8.xml" Id="Rbe5943c0c649499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.329999923706055" hidden="0" customWidth="1"/>
    <x:col min="2" max="2" width="17.780000686645508" hidden="0" customWidth="1"/>
    <x:col min="3" max="3" width="17.780000686645508" hidden="0" customWidth="1"/>
    <x:col min="4" max="4" width="17.780000686645508" hidden="0" customWidth="1"/>
    <x:col min="5" max="5" width="17.780000686645508" hidden="0" customWidth="1"/>
    <x:col min="6" max="6" width="18.889999389648438" hidden="0" customWidth="1"/>
    <x:col min="7" max="7" width="18.329999923706055" hidden="0" customWidth="1"/>
    <x:col min="8" max="8" width="28.329999923706055" hidden="0" customWidth="1"/>
  </x:cols>
  <x:sheetData>
    <x:row r="1" ht="19.200000762939453" hidden="0" customHeight="1">
      <x:c r="A1" s="4" t="str">
        <x:v>Popapz Protein Powder Manufacturing Case Study</x:v>
      </x:c>
    </x:row>
    <x:row r="2" ht="15" hidden="0" customHeight="1">
      <x:c r="A2" s="6" t="str">
        <x:v>Manufacturing-first plan for launching a Popapz protein powder pilot within ₹5 lakh. Instagram/vending is treated only as a market reference.</x:v>
      </x:c>
    </x:row>
    <x:row r="3"/>
    <x:row r="4" ht="15" hidden="0" customHeight="1">
      <x:c r="A4" s="10" t="str">
        <x:v>Route</x:v>
      </x:c>
      <x:c r="B4" s="11" t="str">
        <x:v>Pilot Capital</x:v>
      </x:c>
      <x:c r="C4" s="11" t="str">
        <x:v>Fits ₹5L?</x:v>
      </x:c>
      <x:c r="D4" s="11" t="str">
        <x:v>Customer Entry</x:v>
      </x:c>
      <x:c r="E4" s="11" t="str">
        <x:v>Brand Control</x:v>
      </x:c>
      <x:c r="F4" s="11" t="str">
        <x:v>Risk Level</x:v>
      </x:c>
      <x:c r="G4" s="11" t="str">
        <x:v>Recommendation</x:v>
      </x:c>
      <x:c r="H4" s="12" t="str">
        <x:v>Why</x:v>
      </x:c>
    </x:row>
    <x:row r="5" ht="26.399999618530273" hidden="0" customHeight="1">
      <x:c r="A5" s="15" t="str">
        <x:v>500g whey SKU</x:v>
      </x:c>
      <x:c r="B5" s="16" t="n">
        <x:f>'Manufacturing Budget'!B12</x:f>
        <x:v>491500</x:v>
      </x:c>
      <x:c r="C5" s="15" t="str">
        <x:f>'Manufacturing Budget'!B15</x:f>
        <x:v>Yes</x:v>
      </x:c>
      <x:c r="D5" s="15" t="str">
        <x:v>Medium</x:v>
      </x:c>
      <x:c r="E5" s="15" t="str">
        <x:v>High</x:v>
      </x:c>
      <x:c r="F5" s="15" t="str">
        <x:v>Medium</x:v>
      </x:c>
      <x:c r="G5" s="17" t="str">
        <x:v>Preferred if margin is fixed</x:v>
      </x:c>
      <x:c r="H5" s="15" t="str">
        <x:v>Best mainstream product, but whey input costs need disciplined pricing.</x:v>
      </x:c>
    </x:row>
    <x:row r="6" ht="26.399999618530273" hidden="0" customHeight="1">
      <x:c r="A6" s="15" t="str">
        <x:v>1kg whey SKU</x:v>
      </x:c>
      <x:c r="B6" s="16" t="n">
        <x:f>'Manufacturing Budget'!C12</x:f>
        <x:v>488500</x:v>
      </x:c>
      <x:c r="C6" s="15" t="str">
        <x:f>'Manufacturing Budget'!C15</x:f>
        <x:v>Yes</x:v>
      </x:c>
      <x:c r="D6" s="15" t="str">
        <x:v>High</x:v>
      </x:c>
      <x:c r="E6" s="15" t="str">
        <x:v>High</x:v>
      </x:c>
      <x:c r="F6" s="15" t="str">
        <x:v>High</x:v>
      </x:c>
      <x:c r="G6" s="18" t="str">
        <x:v>Delay until repeat demand</x:v>
      </x:c>
      <x:c r="H6" s="15" t="str">
        <x:v>High MRP and raw whey cost make first-batch risk higher.</x:v>
      </x:c>
    </x:row>
    <x:row r="7" ht="26.399999618530273" hidden="0" customHeight="1">
      <x:c r="A7" s="15" t="str">
        <x:v>500g plant blend</x:v>
      </x:c>
      <x:c r="B7" s="16" t="n">
        <x:f>'Manufacturing Budget'!D12</x:f>
        <x:v>461000</x:v>
      </x:c>
      <x:c r="C7" s="15" t="str">
        <x:f>'Manufacturing Budget'!D15</x:f>
        <x:v>Yes</x:v>
      </x:c>
      <x:c r="D7" s="15" t="str">
        <x:v>Medium</x:v>
      </x:c>
      <x:c r="E7" s="15" t="str">
        <x:v>High</x:v>
      </x:c>
      <x:c r="F7" s="15" t="str">
        <x:v>Medium</x:v>
      </x:c>
      <x:c r="G7" s="17" t="str">
        <x:v>Strong alternative</x:v>
      </x:c>
      <x:c r="H7" s="15" t="str">
        <x:v>Can support vegan/lactose-free positioning and may fit budget better.</x:v>
      </x:c>
    </x:row>
    <x:row r="8" ht="26.399999618530273" hidden="0" customHeight="1">
      <x:c r="A8" s="15" t="str">
        <x:v>Trial pack/sachet</x:v>
      </x:c>
      <x:c r="B8" s="16" t="n">
        <x:f>'Manufacturing Budget'!E12</x:f>
        <x:v>406000</x:v>
      </x:c>
      <x:c r="C8" s="15" t="str">
        <x:f>'Manufacturing Budget'!E15</x:f>
        <x:v>Yes</x:v>
      </x:c>
      <x:c r="D8" s="15" t="str">
        <x:v>Low</x:v>
      </x:c>
      <x:c r="E8" s="15" t="str">
        <x:v>High</x:v>
      </x:c>
      <x:c r="F8" s="15" t="str">
        <x:v>Medium</x:v>
      </x:c>
      <x:c r="G8" s="19" t="str">
        <x:v>Use for sampling</x:v>
      </x:c>
      <x:c r="H8" s="15" t="str">
        <x:v>Good for gyms and first purchases if MOQ and packing cost are workable.</x:v>
      </x:c>
    </x:row>
    <x:row r="9"/>
    <x:row r="10" ht="15" hidden="0" customHeight="1">
      <x:c r="A10" s="21" t="str">
        <x:v>Final recommendation</x:v>
      </x:c>
      <x:c r="B10" s="15" t="str">
        <x:v>Start with a 500g Popapz-branded pilot through a verified FSSAI-compliant third-party manufacturer.</x:v>
      </x:c>
      <x:c r="C10" s="15"/>
      <x:c r="D10" s="15"/>
      <x:c r="E10" s="15"/>
      <x:c r="F10" s="15"/>
      <x:c r="G10" s="15"/>
      <x:c r="H10" s="15"/>
    </x:row>
    <x:row r="11" ht="15" hidden="0" customHeight="1">
      <x:c r="A11" s="21" t="str">
        <x:v>Budget principle</x:v>
      </x:c>
      <x:c r="B11" s="15" t="str">
        <x:v>Do not spend the full ₹5 lakh on inventory. Keep capital for samples, label work, compliance, testing, launch marketing, logistics, and buffer.</x:v>
      </x:c>
      <x:c r="C11" s="15"/>
      <x:c r="D11" s="15"/>
      <x:c r="E11" s="15"/>
      <x:c r="F11" s="15"/>
      <x:c r="G11" s="15"/>
      <x:c r="H11" s="15"/>
    </x:row>
    <x:row r="12" ht="15" hidden="0" customHeight="1">
      <x:c r="A12" s="21" t="str">
        <x:v>Instagram role</x:v>
      </x:c>
      <x:c r="B12" s="15" t="str">
        <x:v>Use the page as a case-study signal only; do not copy or pay a vendor without legal/company/license proof.</x:v>
      </x:c>
      <x:c r="C12" s="15"/>
      <x:c r="D12" s="15"/>
      <x:c r="E12" s="15"/>
      <x:c r="F12" s="15"/>
      <x:c r="G12" s="15"/>
      <x:c r="H12" s="15"/>
    </x:row>
    <x:row r="13" ht="15" hidden="0" customHeight="1">
      <x:c r="A13" s="21" t="str">
        <x:v>Manufacturing route</x:v>
      </x:c>
      <x:c r="B13" s="15" t="str">
        <x:v>Avoid buying machinery in v1. Outsource formulation, blending, filling, packing, and testing.</x:v>
      </x:c>
      <x:c r="C13" s="15"/>
      <x:c r="D13" s="15"/>
      <x:c r="E13" s="15"/>
      <x:c r="F13" s="15"/>
      <x:c r="G13" s="15"/>
      <x:c r="H13" s="15"/>
    </x:row>
    <x:row r="14" ht="15" hidden="0" customHeight="1">
      <x:c r="A14" s="21" t="str">
        <x:v>Vending route</x:v>
      </x:c>
      <x:c r="B14" s="15" t="str">
        <x:v>Keep vending machines as future distribution after product-market demand is visible.</x:v>
      </x:c>
      <x:c r="C14" s="15"/>
      <x:c r="D14" s="15"/>
      <x:c r="E14" s="15"/>
      <x:c r="F14" s="15"/>
      <x:c r="G14" s="15"/>
      <x:c r="H14" s="15"/>
    </x:row>
    <x:row r="15" ht="15" hidden="0" customHeight="1">
      <x:c r="A15" s="21" t="str">
        <x:v>Go/no-go</x:v>
      </x:c>
      <x:c r="B15" s="15" t="str">
        <x:v>Proceed only when contribution margin is positive or strategically acceptable and the batch fits under ₹5 lakh.</x:v>
      </x:c>
      <x:c r="C15" s="15"/>
      <x:c r="D15" s="15"/>
      <x:c r="E15" s="15"/>
      <x:c r="F15" s="15"/>
      <x:c r="G15" s="15"/>
      <x:c r="H15" s="15"/>
    </x:row>
    <x:row r="16" ht="15" hidden="0" customHeight="1">
      <x:c r="A16" s="21" t="str">
        <x:v>Next action</x:v>
      </x:c>
      <x:c r="B16" s="15" t="str">
        <x:v>Collect 3 manufacturer quotes using the quote checklist, then replace the yellow assumptions.</x:v>
      </x:c>
      <x:c r="C16" s="15"/>
      <x:c r="D16" s="15"/>
      <x:c r="E16" s="15"/>
      <x:c r="F16" s="15"/>
      <x:c r="G16" s="15"/>
      <x:c r="H16" s="15"/>
    </x:row>
    <x:row r="17" ht="15" hidden="0" customHeight="1">
      <x:c r="A17" s="21" t="str">
        <x:v>Current workbook status</x:v>
      </x:c>
      <x:c r="B17" s="15" t="str">
        <x:v>All costing assumptions are editable and source notes are included on the Sources sheet.</x:v>
      </x:c>
      <x:c r="C17" s="15"/>
      <x:c r="D17" s="15"/>
      <x:c r="E17" s="15"/>
      <x:c r="F17" s="15"/>
      <x:c r="G17" s="15"/>
      <x:c r="H17" s="15"/>
    </x:row>
  </x:sheetData>
  <x:mergeCells>
    <x:mergeCell ref="A1:H1"/>
    <x:mergeCell ref="A2:H2"/>
    <x:mergeCell ref="B10:H10"/>
    <x:mergeCell ref="B11:H11"/>
    <x:mergeCell ref="B12:H12"/>
    <x:mergeCell ref="B13:H13"/>
    <x:mergeCell ref="B14:H14"/>
    <x:mergeCell ref="B15:H15"/>
    <x:mergeCell ref="B16:H16"/>
    <x:mergeCell ref="B17:H17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6.110000610351562" hidden="0" customWidth="1"/>
    <x:col min="3" max="3" width="12.779999732971191" hidden="0" customWidth="1"/>
    <x:col min="4" max="4" width="43.33000183105469" hidden="0" customWidth="1"/>
    <x:col min="5" max="5" width="41.11000061035156" hidden="0" customWidth="1"/>
  </x:cols>
  <x:sheetData>
    <x:row r="1" ht="19.200000762939453" hidden="0" customHeight="1">
      <x:c r="A1" s="4" t="str">
        <x:v>Editable Assumptions</x:v>
      </x:c>
    </x:row>
    <x:row r="2" ht="15" hidden="0" customHeight="1">
      <x:c r="A2" s="6" t="str">
        <x:v>Yellow cells are intended to be replaced with actual manufacturer quotes and Popapz launch decisions.</x:v>
      </x:c>
    </x:row>
    <x:row r="3"/>
    <x:row r="4" ht="15" hidden="0" customHeight="1">
      <x:c r="A4" s="10" t="str">
        <x:v>Input</x:v>
      </x:c>
      <x:c r="B4" s="11" t="str">
        <x:v>Value</x:v>
      </x:c>
      <x:c r="C4" s="11" t="str">
        <x:v>Unit</x:v>
      </x:c>
      <x:c r="D4" s="11" t="str">
        <x:v>Notes</x:v>
      </x:c>
      <x:c r="E4" s="12" t="str">
        <x:v>Source / Basis</x:v>
      </x:c>
    </x:row>
    <x:row r="5" ht="15" hidden="0" customHeight="1">
      <x:c r="A5" s="15" t="str">
        <x:v>Total pilot budget</x:v>
      </x:c>
      <x:c r="B5" s="22" t="n">
        <x:v>500000</x:v>
      </x:c>
      <x:c r="C5" s="15" t="str">
        <x:v>₹</x:v>
      </x:c>
      <x:c r="D5" s="15" t="str">
        <x:v>Total launch capital, not only manufacturing.</x:v>
      </x:c>
      <x:c r="E5" s="15" t="str">
        <x:v>User instruction</x:v>
      </x:c>
    </x:row>
    <x:row r="6" ht="26.399999618530273" hidden="0" customHeight="1">
      <x:c r="A6" s="15" t="str">
        <x:v>Whey raw material base</x:v>
      </x:c>
      <x:c r="B6" s="22" t="n">
        <x:v>4000</x:v>
      </x:c>
      <x:c r="C6" s="15" t="str">
        <x:v>₹/kg</x:v>
      </x:c>
      <x:c r="D6" s="15" t="str">
        <x:v>Conservative 2026 raw whey planning assumption.</x:v>
      </x:c>
      <x:c r="E6" s="15" t="str">
        <x:v>https://musclenectar.com/pages/why-whey-protein-prices-are-rising</x:v>
      </x:c>
    </x:row>
    <x:row r="7" ht="39.599998474121094" hidden="0" customHeight="1">
      <x:c r="A7" s="15" t="str">
        <x:v>Whey raw material alternate</x:v>
      </x:c>
      <x:c r="B7" s="22" t="n">
        <x:v>3700</x:v>
      </x:c>
      <x:c r="C7" s="15" t="str">
        <x:v>₹/kg</x:v>
      </x:c>
      <x:c r="D7" s="15" t="str">
        <x:v>Reported June 2026 raw material pressure.</x:v>
      </x:c>
      <x:c r="E7" s="15" t="str">
        <x:v>https://www.nutraingredients.com/Article/2026/09/01/brands-weigh-impact-and-strategies-caused-by-whey-protein-price-hike/</x:v>
      </x:c>
    </x:row>
    <x:row r="8" ht="15" hidden="0" customHeight="1">
      <x:c r="A8" s="15" t="str">
        <x:v>Plant/soy/pea blend base</x:v>
      </x:c>
      <x:c r="B8" s="22" t="n">
        <x:v>1250</x:v>
      </x:c>
      <x:c r="C8" s="15" t="str">
        <x:v>₹/kg</x:v>
      </x:c>
      <x:c r="D8" s="15" t="str">
        <x:v>Editable planning assumption; verify with manufacturer.</x:v>
      </x:c>
      <x:c r="E8" s="15" t="str">
        <x:v>Model assumption</x:v>
      </x:c>
    </x:row>
    <x:row r="9" ht="15" hidden="0" customHeight="1">
      <x:c r="A9" s="15" t="str">
        <x:v>Trial blend base</x:v>
      </x:c>
      <x:c r="B9" s="22" t="n">
        <x:v>1500</x:v>
      </x:c>
      <x:c r="C9" s="15" t="str">
        <x:v>₹/kg</x:v>
      </x:c>
      <x:c r="D9" s="15" t="str">
        <x:v>Assumes a non-premium trial/sachet blend for sampling.</x:v>
      </x:c>
      <x:c r="E9" s="15" t="str">
        <x:v>Model assumption</x:v>
      </x:c>
    </x:row>
    <x:row r="10" ht="15" hidden="0" customHeight="1">
      <x:c r="A10" s="15" t="str">
        <x:v>Discount from MRP</x:v>
      </x:c>
      <x:c r="B10" s="23" t="n">
        <x:v>10</x:v>
      </x:c>
      <x:c r="C10" s="15" t="str">
        <x:v>%</x:v>
      </x:c>
      <x:c r="D10" s="15" t="str">
        <x:v>Launch discount or distributor/online discount.</x:v>
      </x:c>
      <x:c r="E10" s="15" t="str">
        <x:v>Model assumption</x:v>
      </x:c>
    </x:row>
    <x:row r="11" ht="15" hidden="0" customHeight="1">
      <x:c r="A11" s="15" t="str">
        <x:v>GST rate</x:v>
      </x:c>
      <x:c r="B11" s="23" t="n">
        <x:v>18</x:v>
      </x:c>
      <x:c r="C11" s="15" t="str">
        <x:v>%</x:v>
      </x:c>
      <x:c r="D11" s="15" t="str">
        <x:v>Planning assumption; confirm exact treatment with CA.</x:v>
      </x:c>
      <x:c r="E11" s="15" t="str">
        <x:v>Model assumption</x:v>
      </x:c>
    </x:row>
    <x:row r="12" ht="15" hidden="0" customHeight="1">
      <x:c r="A12" s="15" t="str">
        <x:v>Channel/payment/logistics fee</x:v>
      </x:c>
      <x:c r="B12" s="23" t="n">
        <x:v>12</x:v>
      </x:c>
      <x:c r="C12" s="15" t="str">
        <x:v>%</x:v>
      </x:c>
      <x:c r="D12" s="15" t="str">
        <x:v>Online/payment/logistics as % of net realized price.</x:v>
      </x:c>
      <x:c r="E12" s="15" t="str">
        <x:v>Model assumption</x:v>
      </x:c>
    </x:row>
    <x:row r="13" ht="15" hidden="0" customHeight="1">
      <x:c r="A13" s="15" t="str">
        <x:v>Marketing CAC per unit</x:v>
      </x:c>
      <x:c r="B13" s="18" t="n">
        <x:v>120</x:v>
      </x:c>
      <x:c r="C13" s="15" t="str">
        <x:v>₹/unit</x:v>
      </x:c>
      <x:c r="D13" s="15" t="str">
        <x:v>Sampling, creator, trainer, and offer allocation.</x:v>
      </x:c>
      <x:c r="E13" s="15" t="str">
        <x:v>Model assumption</x:v>
      </x:c>
    </x:row>
    <x:row r="14" ht="26.399999618530273" hidden="0" customHeight="1">
      <x:c r="A14" s="15" t="str">
        <x:v>Fixed launch overhead</x:v>
      </x:c>
      <x:c r="B14" s="22" t="n">
        <x:v>120000</x:v>
      </x:c>
      <x:c r="C14" s="15" t="str">
        <x:v>₹</x:v>
      </x:c>
      <x:c r="D14" s="15" t="str">
        <x:v>Design, compliance, sample development, setup, testing admin, misc.</x:v>
      </x:c>
      <x:c r="E14" s="15" t="str">
        <x:v>Model assumption</x:v>
      </x:c>
    </x:row>
    <x:row r="15" ht="26.399999618530273" hidden="0" customHeight="1">
      <x:c r="A15" s="15" t="str">
        <x:v>Target gross margin</x:v>
      </x:c>
      <x:c r="B15" s="23" t="n">
        <x:v>35</x:v>
      </x:c>
      <x:c r="C15" s="15" t="str">
        <x:v>%</x:v>
      </x:c>
      <x:c r="D15" s="15" t="str">
        <x:v>Desired margin after landed unit cost before channel fee/CAC.</x:v>
      </x:c>
      <x:c r="E15" s="15" t="str">
        <x:v>Model assumption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.889999389648438" hidden="0" customWidth="1"/>
    <x:col min="2" max="2" width="15" hidden="0" customWidth="1"/>
    <x:col min="3" max="3" width="15" hidden="0" customWidth="1"/>
    <x:col min="4" max="4" width="16.110000610351562" hidden="0" customWidth="1"/>
    <x:col min="5" max="5" width="15" hidden="0" customWidth="1"/>
    <x:col min="6" max="6" width="41.11000061035156" hidden="0" customWidth="1"/>
  </x:cols>
  <x:sheetData>
    <x:row r="1" ht="19.200000762939453" hidden="0" customHeight="1">
      <x:c r="A1" s="4" t="str">
        <x:v>Product Route Economics</x:v>
      </x:c>
    </x:row>
    <x:row r="2" ht="15" hidden="0" customHeight="1">
      <x:c r="A2" s="6" t="str">
        <x:v>Compares 500g whey, 1kg whey, plant blend, and trial pack using editable assumptions.</x:v>
      </x:c>
    </x:row>
    <x:row r="3"/>
    <x:row r="4" ht="15" hidden="0" customHeight="1">
      <x:c r="A4" s="10" t="str">
        <x:v>Cost / Revenue Line</x:v>
      </x:c>
      <x:c r="B4" s="11" t="str">
        <x:v>500g Whey</x:v>
      </x:c>
      <x:c r="C4" s="11" t="str">
        <x:v>1kg Whey</x:v>
      </x:c>
      <x:c r="D4" s="11" t="str">
        <x:v>500g Plant</x:v>
      </x:c>
      <x:c r="E4" s="11" t="str">
        <x:v>Trial Pack</x:v>
      </x:c>
      <x:c r="F4" s="12" t="str">
        <x:v>Notes</x:v>
      </x:c>
    </x:row>
    <x:row r="5" ht="15" hidden="0" customHeight="1">
      <x:c r="A5" s="15" t="str">
        <x:v>Pack size kg</x:v>
      </x:c>
      <x:c r="B5" s="18" t="n">
        <x:v>0.5</x:v>
      </x:c>
      <x:c r="C5" s="18" t="n">
        <x:v>1</x:v>
      </x:c>
      <x:c r="D5" s="18" t="n">
        <x:v>0.5</x:v>
      </x:c>
      <x:c r="E5" s="18" t="n">
        <x:v>0.03</x:v>
      </x:c>
      <x:c r="F5" s="15" t="str">
        <x:v>Powder weight per unit.</x:v>
      </x:c>
    </x:row>
    <x:row r="6" ht="15" hidden="0" customHeight="1">
      <x:c r="A6" s="15" t="str">
        <x:v>Batch units</x:v>
      </x:c>
      <x:c r="B6" s="25" t="n">
        <x:v>100</x:v>
      </x:c>
      <x:c r="C6" s="25" t="n">
        <x:v>50</x:v>
      </x:c>
      <x:c r="D6" s="25" t="n">
        <x:v>200</x:v>
      </x:c>
      <x:c r="E6" s="25" t="n">
        <x:v>3000</x:v>
      </x:c>
      <x:c r="F6" s="15" t="str">
        <x:v>Pilot MOQ assumption; replace with quote.</x:v>
      </x:c>
    </x:row>
    <x:row r="7" ht="15" hidden="0" customHeight="1">
      <x:c r="A7" s="15" t="str">
        <x:v>Raw protein base per kg</x:v>
      </x:c>
      <x:c r="B7" s="16" t="n">
        <x:f>'Assumptions'!$B$6</x:f>
        <x:v>4000</x:v>
      </x:c>
      <x:c r="C7" s="16" t="n">
        <x:f>'Assumptions'!$B$6</x:f>
        <x:v>4000</x:v>
      </x:c>
      <x:c r="D7" s="16" t="n">
        <x:f>'Assumptions'!$B$8</x:f>
        <x:v>1250</x:v>
      </x:c>
      <x:c r="E7" s="16" t="n">
        <x:f>'Assumptions'!$B$9</x:f>
        <x:v>1500</x:v>
      </x:c>
      <x:c r="F7" s="15" t="str">
        <x:v>Linked to assumption by route.</x:v>
      </x:c>
    </x:row>
    <x:row r="8" ht="15" hidden="0" customHeight="1">
      <x:c r="A8" s="15" t="str">
        <x:v>Raw blend cost per unit</x:v>
      </x:c>
      <x:c r="B8" s="16" t="n">
        <x:f>B5*B7</x:f>
        <x:v>2000</x:v>
      </x:c>
      <x:c r="C8" s="16" t="n">
        <x:f>C5*C7</x:f>
        <x:v>4000</x:v>
      </x:c>
      <x:c r="D8" s="16" t="n">
        <x:f>D5*D7</x:f>
        <x:v>625</x:v>
      </x:c>
      <x:c r="E8" s="16" t="n">
        <x:f>E5*E7</x:f>
        <x:v>45</x:v>
      </x:c>
      <x:c r="F8" s="15" t="str">
        <x:v>Pack size × raw base.</x:v>
      </x:c>
    </x:row>
    <x:row r="9" ht="15" hidden="0" customHeight="1">
      <x:c r="A9" s="15" t="str">
        <x:v>Flavor/sweetener/additives</x:v>
      </x:c>
      <x:c r="B9" s="22" t="n">
        <x:v>90</x:v>
      </x:c>
      <x:c r="C9" s="22" t="n">
        <x:v>180</x:v>
      </x:c>
      <x:c r="D9" s="22" t="n">
        <x:v>80</x:v>
      </x:c>
      <x:c r="E9" s="22" t="n">
        <x:v>8</x:v>
      </x:c>
      <x:c r="F9" s="15" t="str">
        <x:v>Input cost per unit.</x:v>
      </x:c>
    </x:row>
    <x:row r="10" ht="15" hidden="0" customHeight="1">
      <x:c r="A10" s="15" t="str">
        <x:v>Manufacturing/filling</x:v>
      </x:c>
      <x:c r="B10" s="22" t="n">
        <x:v>120</x:v>
      </x:c>
      <x:c r="C10" s="22" t="n">
        <x:v>180</x:v>
      </x:c>
      <x:c r="D10" s="22" t="n">
        <x:v>110</x:v>
      </x:c>
      <x:c r="E10" s="22" t="n">
        <x:v>6</x:v>
      </x:c>
      <x:c r="F10" s="15" t="str">
        <x:v>Blending and filling charge per unit.</x:v>
      </x:c>
    </x:row>
    <x:row r="11" ht="15" hidden="0" customHeight="1">
      <x:c r="A11" s="15" t="str">
        <x:v>Packaging/label/scoop/seal</x:v>
      </x:c>
      <x:c r="B11" s="22" t="n">
        <x:v>135</x:v>
      </x:c>
      <x:c r="C11" s="22" t="n">
        <x:v>220</x:v>
      </x:c>
      <x:c r="D11" s="22" t="n">
        <x:v>125</x:v>
      </x:c>
      <x:c r="E11" s="22" t="n">
        <x:v>5</x:v>
      </x:c>
      <x:c r="F11" s="15" t="str">
        <x:v>Pouch/jar/sachet packaging.</x:v>
      </x:c>
    </x:row>
    <x:row r="12" ht="15" hidden="0" customHeight="1">
      <x:c r="A12" s="15" t="str">
        <x:v>Testing allocation</x:v>
      </x:c>
      <x:c r="B12" s="22" t="n">
        <x:v>50</x:v>
      </x:c>
      <x:c r="C12" s="22" t="n">
        <x:v>70</x:v>
      </x:c>
      <x:c r="D12" s="22" t="n">
        <x:v>50</x:v>
      </x:c>
      <x:c r="E12" s="22" t="n">
        <x:v>2</x:v>
      </x:c>
      <x:c r="F12" s="15" t="str">
        <x:v>Batch testing allocated per unit.</x:v>
      </x:c>
    </x:row>
    <x:row r="13" ht="15" hidden="0" customHeight="1">
      <x:c r="A13" s="15" t="str">
        <x:v>Logistics allocation</x:v>
      </x:c>
      <x:c r="B13" s="22" t="n">
        <x:v>70</x:v>
      </x:c>
      <x:c r="C13" s="22" t="n">
        <x:v>120</x:v>
      </x:c>
      <x:c r="D13" s="22" t="n">
        <x:v>65</x:v>
      </x:c>
      <x:c r="E13" s="22" t="n">
        <x:v>1</x:v>
      </x:c>
      <x:c r="F13" s="15" t="str">
        <x:v>Inbound/outbound handling allocation.</x:v>
      </x:c>
    </x:row>
    <x:row r="14" ht="15" hidden="0" customHeight="1">
      <x:c r="A14" s="15" t="str">
        <x:v>Landed cost per unit</x:v>
      </x:c>
      <x:c r="B14" s="16" t="n">
        <x:f>SUM(B8:B13)</x:f>
        <x:v>2465</x:v>
      </x:c>
      <x:c r="C14" s="16" t="n">
        <x:f>SUM(C8:C13)</x:f>
        <x:v>4770</x:v>
      </x:c>
      <x:c r="D14" s="16" t="n">
        <x:f>SUM(D8:D13)</x:f>
        <x:v>1055</x:v>
      </x:c>
      <x:c r="E14" s="16" t="n">
        <x:f>SUM(E8:E13)</x:f>
        <x:v>67</x:v>
      </x:c>
      <x:c r="F14" s="15" t="str">
        <x:v>Formula.</x:v>
      </x:c>
    </x:row>
    <x:row r="15" ht="15" hidden="0" customHeight="1">
      <x:c r="A15" s="15" t="str">
        <x:v>Suggested MRP</x:v>
      </x:c>
      <x:c r="B15" s="22" t="n">
        <x:v>3499</x:v>
      </x:c>
      <x:c r="C15" s="22" t="n">
        <x:v>6999</x:v>
      </x:c>
      <x:c r="D15" s="22" t="n">
        <x:v>2499</x:v>
      </x:c>
      <x:c r="E15" s="22" t="n">
        <x:v>99</x:v>
      </x:c>
      <x:c r="F15" s="15" t="str">
        <x:v>Editable pricing assumption.</x:v>
      </x:c>
    </x:row>
    <x:row r="16" ht="15" hidden="0" customHeight="1">
      <x:c r="A16" s="15" t="str">
        <x:v>Discount from MRP</x:v>
      </x:c>
      <x:c r="B16" s="24" t="n">
        <x:f>'Assumptions'!$B$10/100</x:f>
        <x:v>0.1</x:v>
      </x:c>
      <x:c r="C16" s="24" t="n">
        <x:f>'Assumptions'!$B$10/100</x:f>
        <x:v>0.1</x:v>
      </x:c>
      <x:c r="D16" s="24" t="n">
        <x:f>'Assumptions'!$B$10/100</x:f>
        <x:v>0.1</x:v>
      </x:c>
      <x:c r="E16" s="24" t="n">
        <x:f>'Assumptions'!$B$10/100</x:f>
        <x:v>0.1</x:v>
      </x:c>
      <x:c r="F16" s="15" t="str">
        <x:v>Linked from assumptions.</x:v>
      </x:c>
    </x:row>
    <x:row r="17" ht="15" hidden="0" customHeight="1">
      <x:c r="A17" s="15" t="str">
        <x:v>Selling price after discount</x:v>
      </x:c>
      <x:c r="B17" s="16" t="n">
        <x:f>B15*(1-B16)</x:f>
        <x:v>3149.1</x:v>
      </x:c>
      <x:c r="C17" s="16" t="n">
        <x:f>C15*(1-C16)</x:f>
        <x:v>6299.1</x:v>
      </x:c>
      <x:c r="D17" s="16" t="n">
        <x:f>D15*(1-D16)</x:f>
        <x:v>2249.1</x:v>
      </x:c>
      <x:c r="E17" s="16" t="n">
        <x:f>E15*(1-E16)</x:f>
        <x:v>89.10000000000001</x:v>
      </x:c>
      <x:c r="F17" s="15" t="str">
        <x:v>MRP × (1 - discount).</x:v>
      </x:c>
    </x:row>
    <x:row r="18" ht="15" hidden="0" customHeight="1">
      <x:c r="A18" s="15" t="str">
        <x:v>GST rate</x:v>
      </x:c>
      <x:c r="B18" s="24" t="n">
        <x:f>'Assumptions'!$B$11/100</x:f>
        <x:v>0.18</x:v>
      </x:c>
      <x:c r="C18" s="24" t="n">
        <x:f>'Assumptions'!$B$11/100</x:f>
        <x:v>0.18</x:v>
      </x:c>
      <x:c r="D18" s="24" t="n">
        <x:f>'Assumptions'!$B$11/100</x:f>
        <x:v>0.18</x:v>
      </x:c>
      <x:c r="E18" s="24" t="n">
        <x:f>'Assumptions'!$B$11/100</x:f>
        <x:v>0.18</x:v>
      </x:c>
      <x:c r="F18" s="15" t="str">
        <x:v>Linked from assumptions.</x:v>
      </x:c>
    </x:row>
    <x:row r="19" ht="15" hidden="0" customHeight="1">
      <x:c r="A19" s="15" t="str">
        <x:v>Net realized before fees</x:v>
      </x:c>
      <x:c r="B19" s="16" t="n">
        <x:f>B17/(1+B18)</x:f>
        <x:v>2668.728813559322</x:v>
      </x:c>
      <x:c r="C19" s="16" t="n">
        <x:f>C17/(1+C18)</x:f>
        <x:v>5338.220338983051</x:v>
      </x:c>
      <x:c r="D19" s="16" t="n">
        <x:f>D17/(1+D18)</x:f>
        <x:v>1906.0169491525423</x:v>
      </x:c>
      <x:c r="E19" s="16" t="n">
        <x:f>E17/(1+E18)</x:f>
        <x:v>75.5084745762712</x:v>
      </x:c>
      <x:c r="F19" s="15" t="str">
        <x:v>Selling price excluding GST.</x:v>
      </x:c>
    </x:row>
    <x:row r="20" ht="15" hidden="0" customHeight="1">
      <x:c r="A20" s="15" t="str">
        <x:v>Channel/payment/logistics fee</x:v>
      </x:c>
      <x:c r="B20" s="24" t="n">
        <x:f>'Assumptions'!$B$12/100</x:f>
        <x:v>0.12</x:v>
      </x:c>
      <x:c r="C20" s="24" t="n">
        <x:f>'Assumptions'!$B$12/100</x:f>
        <x:v>0.12</x:v>
      </x:c>
      <x:c r="D20" s="24" t="n">
        <x:f>'Assumptions'!$B$12/100</x:f>
        <x:v>0.12</x:v>
      </x:c>
      <x:c r="E20" s="24" t="n">
        <x:f>'Assumptions'!$B$12/100</x:f>
        <x:v>0.12</x:v>
      </x:c>
      <x:c r="F20" s="15" t="str">
        <x:v>Linked from assumptions.</x:v>
      </x:c>
    </x:row>
    <x:row r="21" ht="15" hidden="0" customHeight="1">
      <x:c r="A21" s="15" t="str">
        <x:v>Channel fee amount</x:v>
      </x:c>
      <x:c r="B21" s="16" t="n">
        <x:f>B19*B20</x:f>
        <x:v>320.24745762711865</x:v>
      </x:c>
      <x:c r="C21" s="16" t="n">
        <x:f>C19*C20</x:f>
        <x:v>640.5864406779662</x:v>
      </x:c>
      <x:c r="D21" s="16" t="n">
        <x:f>D19*D20</x:f>
        <x:v>228.72203389830509</x:v>
      </x:c>
      <x:c r="E21" s="16" t="n">
        <x:f>E19*E20</x:f>
        <x:v>9.061016949152544</x:v>
      </x:c>
      <x:c r="F21" s="15" t="str">
        <x:v>Net realized × fee %.</x:v>
      </x:c>
    </x:row>
    <x:row r="22" ht="15" hidden="0" customHeight="1">
      <x:c r="A22" s="15" t="str">
        <x:v>Marketing CAC allocation</x:v>
      </x:c>
      <x:c r="B22" s="16" t="n">
        <x:f>'Assumptions'!$B$13</x:f>
        <x:v>120</x:v>
      </x:c>
      <x:c r="C22" s="16" t="n">
        <x:f>'Assumptions'!$B$13</x:f>
        <x:v>120</x:v>
      </x:c>
      <x:c r="D22" s="16" t="n">
        <x:f>'Assumptions'!$B$13</x:f>
        <x:v>120</x:v>
      </x:c>
      <x:c r="E22" s="16" t="n">
        <x:f>'Assumptions'!$B$13</x:f>
        <x:v>120</x:v>
      </x:c>
      <x:c r="F22" s="15" t="str">
        <x:v>Linked from assumptions.</x:v>
      </x:c>
    </x:row>
    <x:row r="23" ht="15" hidden="0" customHeight="1">
      <x:c r="A23" s="15" t="str">
        <x:v>Contribution per unit</x:v>
      </x:c>
      <x:c r="B23" s="16" t="n">
        <x:f>B19-B14-B21-B22</x:f>
        <x:v>-236.51864406779652</x:v>
      </x:c>
      <x:c r="C23" s="16" t="n">
        <x:f>C19-C14-C21-C22</x:f>
        <x:v>-192.36610169491507</x:v>
      </x:c>
      <x:c r="D23" s="16" t="n">
        <x:f>D19-D14-D21-D22</x:f>
        <x:v>502.29491525423725</x:v>
      </x:c>
      <x:c r="E23" s="16" t="n">
        <x:f>E19-E14-E21-E22</x:f>
        <x:v>-120.55254237288135</x:v>
      </x:c>
      <x:c r="F23" s="15" t="str">
        <x:v>Net realized - landed cost - channel fee - CAC.</x:v>
      </x:c>
    </x:row>
    <x:row r="24" ht="15" hidden="0" customHeight="1">
      <x:c r="A24" s="15" t="str">
        <x:v>Contribution margin</x:v>
      </x:c>
      <x:c r="B24" s="24" t="n">
        <x:f>IF(B19=0,0,B23/B19)</x:f>
        <x:v>-0.08862595662252704</x:v>
      </x:c>
      <x:c r="C24" s="24" t="n">
        <x:f>IF(C19=0,0,C23/C19)</x:f>
        <x:v>-0.03603562413678141</x:v>
      </x:c>
      <x:c r="D24" s="24" t="n">
        <x:f>IF(D19=0,0,D23/D19)</x:f>
        <x:v>0.26353119025387933</x:v>
      </x:c>
      <x:c r="E24" s="24" t="n">
        <x:f>IF(E19=0,0,E23/E19)</x:f>
        <x:v>-1.5965432098765429</x:v>
      </x:c>
      <x:c r="F24" s="15" t="str">
        <x:v>Contribution ÷ net realized.</x:v>
      </x:c>
    </x:row>
    <x:row r="25" ht="15" hidden="0" customHeight="1">
      <x:c r="A25" s="15" t="str">
        <x:v>Batch landed inventory</x:v>
      </x:c>
      <x:c r="B25" s="16" t="n">
        <x:f>B14*B6</x:f>
        <x:v>246500</x:v>
      </x:c>
      <x:c r="C25" s="16" t="n">
        <x:f>C14*C6</x:f>
        <x:v>238500</x:v>
      </x:c>
      <x:c r="D25" s="16" t="n">
        <x:f>D14*D6</x:f>
        <x:v>211000</x:v>
      </x:c>
      <x:c r="E25" s="16" t="n">
        <x:f>E14*E6</x:f>
        <x:v>201000</x:v>
      </x:c>
      <x:c r="F25" s="15" t="str">
        <x:v>Landed cost × batch units.</x:v>
      </x:c>
    </x:row>
    <x:row r="26" ht="15" hidden="0" customHeight="1">
      <x:c r="A26" s="15" t="str">
        <x:v>Revenue at full sell-through</x:v>
      </x:c>
      <x:c r="B26" s="16" t="n">
        <x:f>B19*B6</x:f>
        <x:v>266872.8813559322</x:v>
      </x:c>
      <x:c r="C26" s="16" t="n">
        <x:f>C19*C6</x:f>
        <x:v>266911.0169491526</x:v>
      </x:c>
      <x:c r="D26" s="16" t="n">
        <x:f>D19*D6</x:f>
        <x:v>381203.38983050844</x:v>
      </x:c>
      <x:c r="E26" s="16" t="n">
        <x:f>E19*E6</x:f>
        <x:v>226525.4237288136</x:v>
      </x:c>
      <x:c r="F26" s="15" t="str">
        <x:v>Net realized × batch units.</x:v>
      </x:c>
    </x:row>
    <x:row r="27" ht="15" hidden="0" customHeight="1">
      <x:c r="A27" s="15" t="str">
        <x:v>Contribution at full sell-through</x:v>
      </x:c>
      <x:c r="B27" s="16" t="n">
        <x:f>B23*B6</x:f>
        <x:v>-23651.864406779652</x:v>
      </x:c>
      <x:c r="C27" s="16" t="n">
        <x:f>C23*C6</x:f>
        <x:v>-9618.305084745754</x:v>
      </x:c>
      <x:c r="D27" s="16" t="n">
        <x:f>D23*D6</x:f>
        <x:v>100458.98305084746</x:v>
      </x:c>
      <x:c r="E27" s="16" t="n">
        <x:f>E23*E6</x:f>
        <x:v>-361657.6271186441</x:v>
      </x:c>
      <x:c r="F27" s="15" t="str">
        <x:v>Contribution × batch units.</x:v>
      </x:c>
    </x:row>
    <x:row r="28" ht="15" hidden="0" customHeight="1">
      <x:c r="A28" s="15" t="str">
        <x:v>Break-even units vs launch overhead</x:v>
      </x:c>
      <x:c r="B28" s="26" t="str">
        <x:f>IF(B23&lt;=0,"Not viable",ROUNDUP('Assumptions'!$B$14/B23,0))</x:f>
        <x:v>Not viable</x:v>
      </x:c>
      <x:c r="C28" s="26" t="str">
        <x:f>IF(C23&lt;=0,"Not viable",ROUNDUP('Assumptions'!$B$14/C23,0))</x:f>
        <x:v>Not viable</x:v>
      </x:c>
      <x:c r="D28" s="26" t="n">
        <x:f>IF(D23&lt;=0,"Not viable",ROUNDUP('Assumptions'!$B$14/D23,0))</x:f>
        <x:v>239</x:v>
      </x:c>
      <x:c r="E28" s="26" t="str">
        <x:f>IF(E23&lt;=0,"Not viable",ROUNDUP('Assumptions'!$B$14/E23,0))</x:f>
        <x:v>Not viable</x:v>
      </x:c>
      <x:c r="F28" s="15" t="str">
        <x:v>Fixed launch overhead ÷ contribution; blank if negative.</x:v>
      </x:c>
    </x:row>
    <x:row r="29" ht="26.399999618530273" hidden="0" customHeight="1">
      <x:c r="A29" s="15" t="str">
        <x:v>Required MRP for target gross margin</x:v>
      </x:c>
      <x:c r="B29" s="16" t="n">
        <x:f>(B14/(1-'Assumptions'!$B$15/100))*(1+B18)/(1-B16)</x:f>
        <x:v>4972.136752136752</x:v>
      </x:c>
      <x:c r="C29" s="16" t="n">
        <x:f>(C14/(1-'Assumptions'!$B$15/100))*(1+C18)/(1-C16)</x:f>
        <x:v>9621.538461538461</x:v>
      </x:c>
      <x:c r="D29" s="16" t="n">
        <x:f>(D14/(1-'Assumptions'!$B$15/100))*(1+D18)/(1-D16)</x:f>
        <x:v>2128.034188034188</x:v>
      </x:c>
      <x:c r="E29" s="16" t="n">
        <x:f>(E14/(1-'Assumptions'!$B$15/100))*(1+E18)/(1-E16)</x:f>
        <x:v>135.14529914529913</x:v>
      </x:c>
      <x:c r="F29" s="15" t="str">
        <x:v>Back-solves MRP before fees/CAC using target gross margin.</x:v>
      </x:c>
    </x:row>
    <x:row r="30" ht="26.399999618530273" hidden="0" customHeight="1">
      <x:c r="A30" s="15" t="str">
        <x:v>Manufacturing signal</x:v>
      </x:c>
      <x:c r="B30" s="15" t="str">
        <x:f>IF(B23&gt;0,"Manufacturable pilot","Reprice or reformulate")</x:f>
        <x:v>Reprice or reformulate</x:v>
      </x:c>
      <x:c r="C30" s="15" t="str">
        <x:f>IF(C23&gt;0,"Manufacturable pilot","Reprice or reformulate")</x:f>
        <x:v>Reprice or reformulate</x:v>
      </x:c>
      <x:c r="D30" s="15" t="str">
        <x:f>IF(D23&gt;0,"Manufacturable pilot","Reprice or reformulate")</x:f>
        <x:v>Manufacturable pilot</x:v>
      </x:c>
      <x:c r="E30" s="15" t="str">
        <x:f>IF(E23&gt;0,"Sampling only","Sampling cost too high")</x:f>
        <x:v>Sampling cost too high</x:v>
      </x:c>
      <x:c r="F30" s="15" t="str">
        <x:v>Quick decision status.</x:v>
      </x:c>
    </x:row>
    <x:row r="31" ht="15" hidden="0" customHeight="1">
      <x:c r="A31" s="15" t="str">
        <x:v>Best use</x:v>
      </x:c>
      <x:c r="B31" s="15" t="str">
        <x:v>Main pilot SKU</x:v>
      </x:c>
      <x:c r="C31" s="15" t="str">
        <x:v>Later scale SKU</x:v>
      </x:c>
      <x:c r="D31" s="15" t="str">
        <x:v>Alternative pilot SKU</x:v>
      </x:c>
      <x:c r="E31" s="15" t="str">
        <x:v>Sampling</x:v>
      </x:c>
      <x:c r="F31" s="15" t="str">
        <x:v>Route-level recommendation.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.889999389648438" hidden="0" customWidth="1"/>
    <x:col min="2" max="2" width="16.110000610351562" hidden="0" customWidth="1"/>
    <x:col min="3" max="3" width="16.110000610351562" hidden="0" customWidth="1"/>
    <x:col min="4" max="4" width="16.110000610351562" hidden="0" customWidth="1"/>
    <x:col min="5" max="5" width="16.110000610351562" hidden="0" customWidth="1"/>
    <x:col min="6" max="6" width="40" hidden="0" customWidth="1"/>
  </x:cols>
  <x:sheetData>
    <x:row r="1" ht="19.200000762939453" hidden="0" customHeight="1">
      <x:c r="A1" s="4" t="str">
        <x:v>₹5 Lakh Manufacturing Pilot Budget</x:v>
      </x:c>
    </x:row>
    <x:row r="2" ht="15" hidden="0" customHeight="1">
      <x:c r="A2" s="6" t="str">
        <x:v>Shows route-level budget usage against total pilot capital.</x:v>
      </x:c>
    </x:row>
    <x:row r="3"/>
    <x:row r="4" ht="15" hidden="0" customHeight="1">
      <x:c r="A4" s="10" t="str">
        <x:v>Budget Line</x:v>
      </x:c>
      <x:c r="B4" s="11" t="str">
        <x:v>500g Whey</x:v>
      </x:c>
      <x:c r="C4" s="11" t="str">
        <x:v>1kg Whey</x:v>
      </x:c>
      <x:c r="D4" s="11" t="str">
        <x:v>500g Plant</x:v>
      </x:c>
      <x:c r="E4" s="11" t="str">
        <x:v>Trial Pack</x:v>
      </x:c>
      <x:c r="F4" s="12" t="str">
        <x:v>Notes</x:v>
      </x:c>
    </x:row>
    <x:row r="5" ht="15" hidden="0" customHeight="1">
      <x:c r="A5" s="15" t="str">
        <x:v>Product samples/formulation</x:v>
      </x:c>
      <x:c r="B5" s="22" t="n">
        <x:v>30000</x:v>
      </x:c>
      <x:c r="C5" s="22" t="n">
        <x:v>30000</x:v>
      </x:c>
      <x:c r="D5" s="22" t="n">
        <x:v>30000</x:v>
      </x:c>
      <x:c r="E5" s="22" t="n">
        <x:v>15000</x:v>
      </x:c>
      <x:c r="F5" s="15" t="str">
        <x:v>Flavor trials and sample development.</x:v>
      </x:c>
    </x:row>
    <x:row r="6" ht="15" hidden="0" customHeight="1">
      <x:c r="A6" s="15" t="str">
        <x:v>Pilot batch inventory</x:v>
      </x:c>
      <x:c r="B6" s="22" t="n">
        <x:f>'Product Routes'!B25</x:f>
        <x:v>246500</x:v>
      </x:c>
      <x:c r="C6" s="22" t="n">
        <x:f>'Product Routes'!C25</x:f>
        <x:v>238500</x:v>
      </x:c>
      <x:c r="D6" s="22" t="n">
        <x:f>'Product Routes'!D25</x:f>
        <x:v>211000</x:v>
      </x:c>
      <x:c r="E6" s="22" t="n">
        <x:f>'Product Routes'!E25</x:f>
        <x:v>201000</x:v>
      </x:c>
      <x:c r="F6" s="15" t="str">
        <x:v>Linked from Product Routes batch landed inventory.</x:v>
      </x:c>
    </x:row>
    <x:row r="7" ht="15" hidden="0" customHeight="1">
      <x:c r="A7" s="15" t="str">
        <x:v>Packaging design and label setup</x:v>
      </x:c>
      <x:c r="B7" s="22" t="n">
        <x:v>35000</x:v>
      </x:c>
      <x:c r="C7" s="22" t="n">
        <x:v>40000</x:v>
      </x:c>
      <x:c r="D7" s="22" t="n">
        <x:v>35000</x:v>
      </x:c>
      <x:c r="E7" s="22" t="n">
        <x:v>25000</x:v>
      </x:c>
      <x:c r="F7" s="15" t="str">
        <x:v>Brand label, print setup, artwork revisions.</x:v>
      </x:c>
    </x:row>
    <x:row r="8" ht="26.399999618530273" hidden="0" customHeight="1">
      <x:c r="A8" s="15" t="str">
        <x:v>Lab testing/COA allocation</x:v>
      </x:c>
      <x:c r="B8" s="22" t="n">
        <x:v>30000</x:v>
      </x:c>
      <x:c r="C8" s="22" t="n">
        <x:v>30000</x:v>
      </x:c>
      <x:c r="D8" s="22" t="n">
        <x:v>30000</x:v>
      </x:c>
      <x:c r="E8" s="22" t="n">
        <x:v>20000</x:v>
      </x:c>
      <x:c r="F8" s="15" t="str">
        <x:v>Third-party or manufacturer-provided testing allocation.</x:v>
      </x:c>
    </x:row>
    <x:row r="9" ht="15" hidden="0" customHeight="1">
      <x:c r="A9" s="15" t="str">
        <x:v>FSSAI/GST/compliance support</x:v>
      </x:c>
      <x:c r="B9" s="22" t="n">
        <x:v>35000</x:v>
      </x:c>
      <x:c r="C9" s="22" t="n">
        <x:v>35000</x:v>
      </x:c>
      <x:c r="D9" s="22" t="n">
        <x:v>35000</x:v>
      </x:c>
      <x:c r="E9" s="22" t="n">
        <x:v>30000</x:v>
      </x:c>
      <x:c r="F9" s="15" t="str">
        <x:v>Professional review/support, not legal advice.</x:v>
      </x:c>
    </x:row>
    <x:row r="10" ht="15" hidden="0" customHeight="1">
      <x:c r="A10" s="15" t="str">
        <x:v>Launch marketing/sampling</x:v>
      </x:c>
      <x:c r="B10" s="22" t="n">
        <x:v>60000</x:v>
      </x:c>
      <x:c r="C10" s="22" t="n">
        <x:v>55000</x:v>
      </x:c>
      <x:c r="D10" s="22" t="n">
        <x:v>65000</x:v>
      </x:c>
      <x:c r="E10" s="22" t="n">
        <x:v>70000</x:v>
      </x:c>
      <x:c r="F10" s="15" t="str">
        <x:v>Gym trainers, samples, creator content, offers.</x:v>
      </x:c>
    </x:row>
    <x:row r="11" ht="15" hidden="0" customHeight="1">
      <x:c r="A11" s="15" t="str">
        <x:v>Logistics and working capital buffer</x:v>
      </x:c>
      <x:c r="B11" s="22" t="n">
        <x:v>55000</x:v>
      </x:c>
      <x:c r="C11" s="22" t="n">
        <x:v>60000</x:v>
      </x:c>
      <x:c r="D11" s="22" t="n">
        <x:v>55000</x:v>
      </x:c>
      <x:c r="E11" s="22" t="n">
        <x:v>45000</x:v>
      </x:c>
      <x:c r="F11" s="15" t="str">
        <x:v>Shipping, storage, returns, cash buffer.</x:v>
      </x:c>
    </x:row>
    <x:row r="12" ht="15" hidden="0" customHeight="1">
      <x:c r="A12" s="15" t="str">
        <x:v>Total pilot cost</x:v>
      </x:c>
      <x:c r="B12" s="16" t="n">
        <x:f>SUM(B5:B11)</x:f>
        <x:v>491500</x:v>
      </x:c>
      <x:c r="C12" s="16" t="n">
        <x:f>SUM(C5:C11)</x:f>
        <x:v>488500</x:v>
      </x:c>
      <x:c r="D12" s="16" t="n">
        <x:f>SUM(D5:D11)</x:f>
        <x:v>461000</x:v>
      </x:c>
      <x:c r="E12" s="16" t="n">
        <x:f>SUM(E5:E11)</x:f>
        <x:v>406000</x:v>
      </x:c>
      <x:c r="F12" s="15" t="str">
        <x:v>Formula.</x:v>
      </x:c>
    </x:row>
    <x:row r="13" ht="15" hidden="0" customHeight="1">
      <x:c r="A13" s="15" t="str">
        <x:v>Budget available</x:v>
      </x:c>
      <x:c r="B13" s="16" t="n">
        <x:f>'Assumptions'!$B$5</x:f>
        <x:v>500000</x:v>
      </x:c>
      <x:c r="C13" s="16" t="n">
        <x:f>'Assumptions'!$B$5</x:f>
        <x:v>500000</x:v>
      </x:c>
      <x:c r="D13" s="16" t="n">
        <x:f>'Assumptions'!$B$5</x:f>
        <x:v>500000</x:v>
      </x:c>
      <x:c r="E13" s="16" t="n">
        <x:f>'Assumptions'!$B$5</x:f>
        <x:v>500000</x:v>
      </x:c>
      <x:c r="F13" s="15" t="str">
        <x:v>Linked from Assumptions.</x:v>
      </x:c>
    </x:row>
    <x:row r="14" ht="15" hidden="0" customHeight="1">
      <x:c r="A14" s="15" t="str">
        <x:v>Budget remaining</x:v>
      </x:c>
      <x:c r="B14" s="16" t="n">
        <x:f>B13-B12</x:f>
        <x:v>8500</x:v>
      </x:c>
      <x:c r="C14" s="16" t="n">
        <x:f>C13-C12</x:f>
        <x:v>11500</x:v>
      </x:c>
      <x:c r="D14" s="16" t="n">
        <x:f>D13-D12</x:f>
        <x:v>39000</x:v>
      </x:c>
      <x:c r="E14" s="16" t="n">
        <x:f>E13-E12</x:f>
        <x:v>94000</x:v>
      </x:c>
      <x:c r="F14" s="15" t="str">
        <x:v>Formula.</x:v>
      </x:c>
    </x:row>
    <x:row r="15" ht="15" hidden="0" customHeight="1">
      <x:c r="A15" s="15" t="str">
        <x:v>Fits under ₹5 lakh?</x:v>
      </x:c>
      <x:c r="B15" s="17" t="str">
        <x:f>IF(B12&lt;=B13,"Yes","No")</x:f>
        <x:v>Yes</x:v>
      </x:c>
      <x:c r="C15" s="17" t="str">
        <x:f>IF(C12&lt;=C13,"Yes","No")</x:f>
        <x:v>Yes</x:v>
      </x:c>
      <x:c r="D15" s="17" t="str">
        <x:f>IF(D12&lt;=D13,"Yes","No")</x:f>
        <x:v>Yes</x:v>
      </x:c>
      <x:c r="E15" s="17" t="str">
        <x:f>IF(E12&lt;=E13,"Yes","No")</x:f>
        <x:v>Yes</x:v>
      </x:c>
      <x:c r="F15" s="15" t="str">
        <x:v>Formula.</x:v>
      </x:c>
    </x:row>
    <x:row r="16" ht="15" hidden="0" customHeight="1">
      <x:c r="A16" s="15" t="str">
        <x:v>Cost per launch unit</x:v>
      </x:c>
      <x:c r="B16" s="16" t="n">
        <x:f>B12/'Product Routes'!B6</x:f>
        <x:v>4915</x:v>
      </x:c>
      <x:c r="C16" s="16" t="n">
        <x:f>C12/'Product Routes'!C6</x:f>
        <x:v>9770</x:v>
      </x:c>
      <x:c r="D16" s="16" t="n">
        <x:f>D12/'Product Routes'!D6</x:f>
        <x:v>2305</x:v>
      </x:c>
      <x:c r="E16" s="16" t="n">
        <x:f>E12/'Product Routes'!E6</x:f>
        <x:v>135.33333333333334</x:v>
      </x:c>
      <x:c r="F16" s="15" t="str">
        <x:v>Total pilot cost ÷ batch units.</x:v>
      </x:c>
    </x:row>
    <x:row r="17" ht="15" hidden="0" customHeight="1">
      <x:c r="A17" s="15" t="str">
        <x:v>Break-even units</x:v>
      </x:c>
      <x:c r="B17" s="26" t="str">
        <x:f>'Product Routes'!B28</x:f>
        <x:v>Not viable</x:v>
      </x:c>
      <x:c r="C17" s="26" t="str">
        <x:f>'Product Routes'!C28</x:f>
        <x:v>Not viable</x:v>
      </x:c>
      <x:c r="D17" s="26" t="n">
        <x:f>'Product Routes'!D28</x:f>
        <x:v>239</x:v>
      </x:c>
      <x:c r="E17" s="26" t="str">
        <x:f>'Product Routes'!E28</x:f>
        <x:v>Not viable</x:v>
      </x:c>
      <x:c r="F17" s="15" t="str">
        <x:v>Linked from Product Routes.</x:v>
      </x:c>
    </x:row>
    <x:row r="18" ht="26.399999618530273" hidden="0" customHeight="1">
      <x:c r="A18" s="15" t="str">
        <x:v>Practical verdict</x:v>
      </x:c>
      <x:c r="B18" s="15" t="str">
        <x:f>IF(AND(B15="Yes",'Product Routes'!B23&gt;0),"Best pilot candidate",IF(B15="Yes","Fits budget but margin weak","Reject for ₹5L pilot"))</x:f>
        <x:v>Fits budget but margin weak</x:v>
      </x:c>
      <x:c r="C18" s="15" t="str">
        <x:f>IF(AND(C15="Yes",'Product Routes'!C23&gt;0),"Can test if preorders exist",IF(C15="Yes","Fits budget but margin weak","Reject for ₹5L pilot"))</x:f>
        <x:v>Fits budget but margin weak</x:v>
      </x:c>
      <x:c r="D18" s="15" t="str">
        <x:f>IF(AND(D15="Yes",'Product Routes'!D23&gt;0),"Strong alternate candidate",IF(D15="Yes","Fits budget but margin weak","Reject for ₹5L pilot"))</x:f>
        <x:v>Strong alternate candidate</x:v>
      </x:c>
      <x:c r="E18" s="15" t="str">
        <x:f>IF(E15="Yes","Sampling route only","Reject for ₹5L pilot")</x:f>
        <x:v>Sampling route only</x:v>
      </x:c>
      <x:c r="F18" s="15" t="str">
        <x:v>Route decision.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.890000343322754" hidden="0" customWidth="1"/>
    <x:col min="2" max="2" width="27.780000686645508" hidden="0" customWidth="1"/>
    <x:col min="3" max="3" width="46.66999816894531" hidden="0" customWidth="1"/>
    <x:col min="4" max="4" width="33.33000183105469" hidden="0" customWidth="1"/>
    <x:col min="5" max="5" width="24.440000534057617" hidden="0" customWidth="1"/>
  </x:cols>
  <x:sheetData>
    <x:row r="1" ht="19.200000762939453" hidden="0" customHeight="1">
      <x:c r="A1" s="4" t="str">
        <x:v>Step-by-Step Manufacturing Workflow</x:v>
      </x:c>
    </x:row>
    <x:row r="2" ht="15" hidden="0" customHeight="1">
      <x:c r="A2" s="6" t="str">
        <x:v>Operational sequence for taking Popapz from concept to first batch.</x:v>
      </x:c>
    </x:row>
    <x:row r="3"/>
    <x:row r="4" ht="15" hidden="0" customHeight="1">
      <x:c r="A4" s="10" t="str">
        <x:v>Step</x:v>
      </x:c>
      <x:c r="B4" s="11" t="str">
        <x:v>Stage</x:v>
      </x:c>
      <x:c r="C4" s="11" t="str">
        <x:v>Action</x:v>
      </x:c>
      <x:c r="D4" s="11" t="str">
        <x:v>Output</x:v>
      </x:c>
      <x:c r="E4" s="12" t="str">
        <x:v>Gate</x:v>
      </x:c>
    </x:row>
    <x:row r="5" ht="26.399999618530273" hidden="0" customHeight="1">
      <x:c r="A5" s="26" t="n">
        <x:v>1</x:v>
      </x:c>
      <x:c r="B5" s="15" t="str">
        <x:v>Choose product type</x:v>
      </x:c>
      <x:c r="C5" s="15" t="str">
        <x:v>Pick 500g whey or 500g plant blend based on quote and target buyer.</x:v>
      </x:c>
      <x:c r="D5" s="15" t="str">
        <x:v>Final SKU brief.</x:v>
      </x:c>
      <x:c r="E5" s="15" t="str">
        <x:v>Target buyer and MRP clear.</x:v>
      </x:c>
    </x:row>
    <x:row r="6" ht="26.399999618530273" hidden="0" customHeight="1">
      <x:c r="A6" s="26" t="n">
        <x:v>2</x:v>
      </x:c>
      <x:c r="B6" s="15" t="str">
        <x:v>Get 3 quotes</x:v>
      </x:c>
      <x:c r="C6" s="15" t="str">
        <x:v>Ask 3 FSSAI-compliant manufacturers for 500g, 1kg, and trial pack quotes.</x:v>
      </x:c>
      <x:c r="D6" s="15" t="str">
        <x:v>Comparable quote table.</x:v>
      </x:c>
      <x:c r="E6" s="15" t="str">
        <x:v>All quotes include/exclude same items.</x:v>
      </x:c>
    </x:row>
    <x:row r="7" ht="26.399999618530273" hidden="0" customHeight="1">
      <x:c r="A7" s="26" t="n">
        <x:v>3</x:v>
      </x:c>
      <x:c r="B7" s="15" t="str">
        <x:v>Approve sample</x:v>
      </x:c>
      <x:c r="C7" s="15" t="str">
        <x:v>Taste, sweetness, smell, scoop size, mixability, and digestion feedback.</x:v>
      </x:c>
      <x:c r="D7" s="15" t="str">
        <x:v>Approved sample.</x:v>
      </x:c>
      <x:c r="E7" s="15" t="str">
        <x:v>20-30 target-user feedback points.</x:v>
      </x:c>
    </x:row>
    <x:row r="8" ht="26.399999618530273" hidden="0" customHeight="1">
      <x:c r="A8" s="26" t="n">
        <x:v>4</x:v>
      </x:c>
      <x:c r="B8" s="15" t="str">
        <x:v>Verify label/claims</x:v>
      </x:c>
      <x:c r="C8" s="15" t="str">
        <x:v>Review ingredients, nutrition panel, FSSAI details, MRP, dates, warnings, and claims.</x:v>
      </x:c>
      <x:c r="D8" s="15" t="str">
        <x:v>Print-ready label.</x:v>
      </x:c>
      <x:c r="E8" s="15" t="str">
        <x:v>No medical or exaggerated claims.</x:v>
      </x:c>
    </x:row>
    <x:row r="9" ht="26.399999618530273" hidden="0" customHeight="1">
      <x:c r="A9" s="26" t="n">
        <x:v>5</x:v>
      </x:c>
      <x:c r="B9" s="15" t="str">
        <x:v>Produce pilot batch</x:v>
      </x:c>
      <x:c r="C9" s="15" t="str">
        <x:v>Place purchase order only after sample, label, and COA process are clear.</x:v>
      </x:c>
      <x:c r="D9" s="15" t="str">
        <x:v>Finished goods with batch records.</x:v>
      </x:c>
      <x:c r="E9" s="15" t="str">
        <x:v>Batch-wise COA available.</x:v>
      </x:c>
    </x:row>
    <x:row r="10" ht="26.399999618530273" hidden="0" customHeight="1">
      <x:c r="A10" s="26" t="n">
        <x:v>6</x:v>
      </x:c>
      <x:c r="B10" s="15" t="str">
        <x:v>Run gym/online sampling</x:v>
      </x:c>
      <x:c r="C10" s="15" t="str">
        <x:v>Use trainers, WhatsApp, Instagram, and local gyms for trial sales.</x:v>
      </x:c>
      <x:c r="D10" s="15" t="str">
        <x:v>Sell-through and feedback data.</x:v>
      </x:c>
      <x:c r="E10" s="15" t="str">
        <x:v>60%-70% batch sell-through target.</x:v>
      </x:c>
    </x:row>
    <x:row r="11" ht="26.399999618530273" hidden="0" customHeight="1">
      <x:c r="A11" s="26" t="n">
        <x:v>7</x:v>
      </x:c>
      <x:c r="B11" s="15" t="str">
        <x:v>Reorder decision</x:v>
      </x:c>
      <x:c r="C11" s="15" t="str">
        <x:v>Check contribution margin, repeat demand, reviews, and customer complaints.</x:v>
      </x:c>
      <x:c r="D11" s="15" t="str">
        <x:v>Reorder/no-reorder call.</x:v>
      </x:c>
      <x:c r="E11" s="15" t="str">
        <x:v>Repeat orders visible.</x:v>
      </x:c>
    </x:row>
    <x:row r="12" ht="26.399999618530273" hidden="0" customHeight="1">
      <x:c r="A12" s="26" t="n">
        <x:v>8</x:v>
      </x:c>
      <x:c r="B12" s="15" t="str">
        <x:v>Scale channel</x:v>
      </x:c>
      <x:c r="C12" s="15" t="str">
        <x:v>Consider larger pack, marketplace, vending, or gym partnerships after demand proof.</x:v>
      </x:c>
      <x:c r="D12" s="15" t="str">
        <x:v>Scale roadmap.</x:v>
      </x:c>
      <x:c r="E12" s="15" t="str">
        <x:v>Unit economics remain positive.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.889999389648438" hidden="0" customWidth="1"/>
    <x:col min="2" max="2" width="16.670000076293945" hidden="0" customWidth="1"/>
    <x:col min="3" max="3" width="16.670000076293945" hidden="0" customWidth="1"/>
    <x:col min="4" max="4" width="16.670000076293945" hidden="0" customWidth="1"/>
    <x:col min="5" max="5" width="35.560001373291016" hidden="0" customWidth="1"/>
    <x:col min="6" max="6" width="28.889999389648438" hidden="0" customWidth="1"/>
  </x:cols>
  <x:sheetData>
    <x:row r="1" ht="19.200000762939453" hidden="0" customHeight="1">
      <x:c r="A1" s="4" t="str">
        <x:v>Manufacturer Quote Checklist</x:v>
      </x:c>
    </x:row>
    <x:row r="2" ht="15" hidden="0" customHeight="1">
      <x:c r="A2" s="6" t="str">
        <x:v>Use this sheet to compare 3 manufacturers before paying any advance.</x:v>
      </x:c>
    </x:row>
    <x:row r="3"/>
    <x:row r="4" ht="15" hidden="0" customHeight="1">
      <x:c r="A4" s="10" t="str">
        <x:v>Requirement</x:v>
      </x:c>
      <x:c r="B4" s="11" t="str">
        <x:v>Vendor A</x:v>
      </x:c>
      <x:c r="C4" s="11" t="str">
        <x:v>Vendor B</x:v>
      </x:c>
      <x:c r="D4" s="11" t="str">
        <x:v>Vendor C</x:v>
      </x:c>
      <x:c r="E4" s="11" t="str">
        <x:v>Evidence Required</x:v>
      </x:c>
      <x:c r="F4" s="12" t="str">
        <x:v>Decision Rule</x:v>
      </x:c>
    </x:row>
    <x:row r="5" ht="15" hidden="0" customHeight="1">
      <x:c r="A5" s="15" t="str">
        <x:v>Legal company name</x:v>
      </x:c>
      <x:c r="B5" s="18" t="str"/>
      <x:c r="C5" s="18" t="str"/>
      <x:c r="D5" s="18" t="str"/>
      <x:c r="E5" s="15" t="str">
        <x:v>GST/PAN/address/signatory.</x:v>
      </x:c>
      <x:c r="F5" s="15" t="str">
        <x:v>Must match invoice and agreement.</x:v>
      </x:c>
    </x:row>
    <x:row r="6" ht="15" hidden="0" customHeight="1">
      <x:c r="A6" s="15" t="str">
        <x:v>FSSAI license</x:v>
      </x:c>
      <x:c r="B6" s="18" t="str"/>
      <x:c r="C6" s="18" t="str"/>
      <x:c r="D6" s="18" t="str"/>
      <x:c r="E6" s="15" t="str">
        <x:v>License copy and category scope.</x:v>
      </x:c>
      <x:c r="F6" s="15" t="str">
        <x:v>Reject if missing or irrelevant.</x:v>
      </x:c>
    </x:row>
    <x:row r="7" ht="15" hidden="0" customHeight="1">
      <x:c r="A7" s="15" t="str">
        <x:v>Can manufacture under Popapz brand</x:v>
      </x:c>
      <x:c r="B7" s="18" t="str"/>
      <x:c r="C7" s="18" t="str"/>
      <x:c r="D7" s="18" t="str"/>
      <x:c r="E7" s="15" t="str">
        <x:v>Written confirmation.</x:v>
      </x:c>
      <x:c r="F7" s="15" t="str">
        <x:v>Required.</x:v>
      </x:c>
    </x:row>
    <x:row r="8" ht="15" hidden="0" customHeight="1">
      <x:c r="A8" s="15" t="str">
        <x:v>MOQ 500g</x:v>
      </x:c>
      <x:c r="B8" s="18" t="str"/>
      <x:c r="C8" s="18" t="str"/>
      <x:c r="D8" s="18" t="str"/>
      <x:c r="E8" s="15" t="str">
        <x:v>Unit count and kg quantity.</x:v>
      </x:c>
      <x:c r="F8" s="15" t="str">
        <x:v>Must fit pilot budget.</x:v>
      </x:c>
    </x:row>
    <x:row r="9" ht="15" hidden="0" customHeight="1">
      <x:c r="A9" s="15" t="str">
        <x:v>MOQ 1kg</x:v>
      </x:c>
      <x:c r="B9" s="18" t="str"/>
      <x:c r="C9" s="18" t="str"/>
      <x:c r="D9" s="18" t="str"/>
      <x:c r="E9" s="15" t="str">
        <x:v>Unit count and kg quantity.</x:v>
      </x:c>
      <x:c r="F9" s="15" t="str">
        <x:v>Useful for future scale.</x:v>
      </x:c>
    </x:row>
    <x:row r="10" ht="15" hidden="0" customHeight="1">
      <x:c r="A10" s="15" t="str">
        <x:v>MOQ sachet/trial pack</x:v>
      </x:c>
      <x:c r="B10" s="18" t="str"/>
      <x:c r="C10" s="18" t="str"/>
      <x:c r="D10" s="18" t="str"/>
      <x:c r="E10" s="15" t="str">
        <x:v>Unit count, pack size, packing type.</x:v>
      </x:c>
      <x:c r="F10" s="15" t="str">
        <x:v>Optional but useful.</x:v>
      </x:c>
    </x:row>
    <x:row r="11" ht="26.399999618530273" hidden="0" customHeight="1">
      <x:c r="A11" s="15" t="str">
        <x:v>500g landed quote</x:v>
      </x:c>
      <x:c r="B11" s="18" t="str"/>
      <x:c r="C11" s="18" t="str"/>
      <x:c r="D11" s="18" t="str"/>
      <x:c r="E11" s="15" t="str">
        <x:v>Powder + packing + labeling + testing + GST split.</x:v>
      </x:c>
      <x:c r="F11" s="15" t="str">
        <x:v>Compare like-for-like.</x:v>
      </x:c>
    </x:row>
    <x:row r="12" ht="26.399999618530273" hidden="0" customHeight="1">
      <x:c r="A12" s="15" t="str">
        <x:v>1kg landed quote</x:v>
      </x:c>
      <x:c r="B12" s="18" t="str"/>
      <x:c r="C12" s="18" t="str"/>
      <x:c r="D12" s="18" t="str"/>
      <x:c r="E12" s="15" t="str">
        <x:v>Powder + packing + labeling + testing + GST split.</x:v>
      </x:c>
      <x:c r="F12" s="15" t="str">
        <x:v>Compare like-for-like.</x:v>
      </x:c>
    </x:row>
    <x:row r="13" ht="15" hidden="0" customHeight="1">
      <x:c r="A13" s="15" t="str">
        <x:v>Plant blend quote</x:v>
      </x:c>
      <x:c r="B13" s="18" t="str"/>
      <x:c r="C13" s="18" t="str"/>
      <x:c r="D13" s="18" t="str"/>
      <x:c r="E13" s="15" t="str">
        <x:v>Ingredient base and nutrition panel.</x:v>
      </x:c>
      <x:c r="F13" s="15" t="str">
        <x:v>Compare against whey.</x:v>
      </x:c>
    </x:row>
    <x:row r="14" ht="15" hidden="0" customHeight="1">
      <x:c r="A14" s="15" t="str">
        <x:v>Sample cost and lead time</x:v>
      </x:c>
      <x:c r="B14" s="18" t="str"/>
      <x:c r="C14" s="18" t="str"/>
      <x:c r="D14" s="18" t="str"/>
      <x:c r="E14" s="15" t="str">
        <x:v>Invoice or quote line.</x:v>
      </x:c>
      <x:c r="F14" s="15" t="str">
        <x:v>Sample before bulk production.</x:v>
      </x:c>
    </x:row>
    <x:row r="15" ht="15" hidden="0" customHeight="1">
      <x:c r="A15" s="15" t="str">
        <x:v>COA included?</x:v>
      </x:c>
      <x:c r="B15" s="18" t="str"/>
      <x:c r="C15" s="18" t="str"/>
      <x:c r="D15" s="18" t="str"/>
      <x:c r="E15" s="15" t="str">
        <x:v>Sample COA format.</x:v>
      </x:c>
      <x:c r="F15" s="15" t="str">
        <x:v>Required batch-wise.</x:v>
      </x:c>
    </x:row>
    <x:row r="16" ht="26.399999618530273" hidden="0" customHeight="1">
      <x:c r="A16" s="15" t="str">
        <x:v>Testing scope</x:v>
      </x:c>
      <x:c r="B16" s="18" t="str"/>
      <x:c r="C16" s="18" t="str"/>
      <x:c r="D16" s="18" t="str"/>
      <x:c r="E16" s="15" t="str">
        <x:v>Protein, micro, moisture, heavy metals where applicable.</x:v>
      </x:c>
      <x:c r="F16" s="15" t="str">
        <x:v>Must support claims.</x:v>
      </x:c>
    </x:row>
    <x:row r="17" ht="15" hidden="0" customHeight="1">
      <x:c r="A17" s="15" t="str">
        <x:v>Label review responsibility</x:v>
      </x:c>
      <x:c r="B17" s="18" t="str"/>
      <x:c r="C17" s="18" t="str"/>
      <x:c r="D17" s="18" t="str"/>
      <x:c r="E17" s="15" t="str">
        <x:v>Written role split.</x:v>
      </x:c>
      <x:c r="F17" s="15" t="str">
        <x:v>No unreviewed claims.</x:v>
      </x:c>
    </x:row>
    <x:row r="18" ht="15" hidden="0" customHeight="1">
      <x:c r="A18" s="15" t="str">
        <x:v>Formula ownership</x:v>
      </x:c>
      <x:c r="B18" s="18" t="str"/>
      <x:c r="C18" s="18" t="str"/>
      <x:c r="D18" s="18" t="str"/>
      <x:c r="E18" s="15" t="str">
        <x:v>Agreement clause.</x:v>
      </x:c>
      <x:c r="F18" s="15" t="str">
        <x:v>Avoid lock-in surprise.</x:v>
      </x:c>
    </x:row>
    <x:row r="19" ht="15" hidden="0" customHeight="1">
      <x:c r="A19" s="15" t="str">
        <x:v>Payment milestones</x:v>
      </x:c>
      <x:c r="B19" s="18" t="str"/>
      <x:c r="C19" s="18" t="str"/>
      <x:c r="D19" s="18" t="str"/>
      <x:c r="E19" s="15" t="str">
        <x:v>Advance, balance, dispatch terms.</x:v>
      </x:c>
      <x:c r="F19" s="15" t="str">
        <x:v>Avoid 100% upfront if possible.</x:v>
      </x:c>
    </x:row>
    <x:row r="20" ht="15" hidden="0" customHeight="1">
      <x:c r="A20" s="15" t="str">
        <x:v>Lead time after approval</x:v>
      </x:c>
      <x:c r="B20" s="18" t="str"/>
      <x:c r="C20" s="18" t="str"/>
      <x:c r="D20" s="18" t="str"/>
      <x:c r="E20" s="15" t="str">
        <x:v>Written production timeline.</x:v>
      </x:c>
      <x:c r="F20" s="15" t="str">
        <x:v>Must match launch plan.</x:v>
      </x:c>
    </x:row>
    <x:row r="21" ht="15" hidden="0" customHeight="1">
      <x:c r="A21" s="15" t="str">
        <x:v>Failure/refund terms</x:v>
      </x:c>
      <x:c r="B21" s="18" t="str"/>
      <x:c r="C21" s="18" t="str"/>
      <x:c r="D21" s="18" t="str"/>
      <x:c r="E21" s="15" t="str">
        <x:v>What if sample/batch/test fails.</x:v>
      </x:c>
      <x:c r="F21" s="15" t="str">
        <x:v>Reject vague terms.</x:v>
      </x:c>
    </x:row>
    <x:row r="22" ht="15" hidden="0" customHeight="1">
      <x:c r="A22" s="15" t="str">
        <x:v>References</x:v>
      </x:c>
      <x:c r="B22" s="18" t="str"/>
      <x:c r="C22" s="18" t="str"/>
      <x:c r="D22" s="18" t="str"/>
      <x:c r="E22" s="15" t="str">
        <x:v>Existing client references.</x:v>
      </x:c>
      <x:c r="F22" s="15" t="str">
        <x:v>Call before payment.</x:v>
      </x:c>
    </x:row>
    <x:row r="23" ht="15" hidden="0" customHeight="1">
      <x:c r="A23" s="15" t="str">
        <x:v>Overall rating</x:v>
      </x:c>
      <x:c r="B23" s="18" t="str"/>
      <x:c r="C23" s="18" t="str"/>
      <x:c r="D23" s="18" t="str"/>
      <x:c r="E23" s="15" t="str">
        <x:v>Popapz judgement.</x:v>
      </x:c>
      <x:c r="F23" s="15" t="str">
        <x:v>Choose best value, not lowest price.</x:v>
      </x:c>
    </x:row>
    <x:row r="24" ht="15" hidden="0" customHeight="1">
      <x:c r="A24" s="15" t="str">
        <x:v>Decision</x:v>
      </x:c>
      <x:c r="B24" s="18" t="str"/>
      <x:c r="C24" s="18" t="str"/>
      <x:c r="D24" s="18" t="str"/>
      <x:c r="E24" s="15" t="str">
        <x:v>Proceed/hold/reject.</x:v>
      </x:c>
      <x:c r="F24" s="15" t="str">
        <x:v>Document rationale.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.889999389648438" hidden="0" customWidth="1"/>
    <x:col min="2" max="2" width="15.5600004196167" hidden="0" customWidth="1"/>
    <x:col min="3" max="3" width="51.11000061035156" hidden="0" customWidth="1"/>
    <x:col min="4" max="4" width="33.33000183105469" hidden="0" customWidth="1"/>
  </x:cols>
  <x:sheetData>
    <x:row r="1" ht="19.200000762939453" hidden="0" customHeight="1">
      <x:c r="A1" s="4" t="str">
        <x:v>India Compliance And Label Checklist</x:v>
      </x:c>
    </x:row>
    <x:row r="2" ht="15" hidden="0" customHeight="1">
      <x:c r="A2" s="6" t="str">
        <x:v>Planning checklist only; final label and category should be reviewed by a qualified professional.</x:v>
      </x:c>
    </x:row>
    <x:row r="3"/>
    <x:row r="4" ht="15" hidden="0" customHeight="1">
      <x:c r="A4" s="10" t="str">
        <x:v>Area</x:v>
      </x:c>
      <x:c r="B4" s="11" t="str">
        <x:v>Priority</x:v>
      </x:c>
      <x:c r="C4" s="11" t="str">
        <x:v>Requirement</x:v>
      </x:c>
      <x:c r="D4" s="12" t="str">
        <x:v>Notes</x:v>
      </x:c>
    </x:row>
    <x:row r="5" ht="26.399999618530273" hidden="0" customHeight="1">
      <x:c r="A5" s="15" t="str">
        <x:v>FSSAI category</x:v>
      </x:c>
      <x:c r="B5" s="18" t="str">
        <x:v>Critical</x:v>
      </x:c>
      <x:c r="C5" s="15" t="str">
        <x:v>Confirm health supplement/nutraceutical or relevant food category treatment.</x:v>
      </x:c>
      <x:c r="D5" s="15" t="str">
        <x:v>Use official FSSAI rules and manufacturer guidance.</x:v>
      </x:c>
    </x:row>
    <x:row r="6" ht="15" hidden="0" customHeight="1">
      <x:c r="A6" s="15" t="str">
        <x:v>FSSAI license number</x:v>
      </x:c>
      <x:c r="B6" s="18" t="str">
        <x:v>Critical</x:v>
      </x:c>
      <x:c r="C6" s="15" t="str">
        <x:v>Display valid license details as applicable.</x:v>
      </x:c>
      <x:c r="D6" s="15" t="str">
        <x:v>Match manufacturer/packer/marketer role.</x:v>
      </x:c>
    </x:row>
    <x:row r="7" ht="15" hidden="0" customHeight="1">
      <x:c r="A7" s="15" t="str">
        <x:v>Manufacturer/packer/marketer</x:v>
      </x:c>
      <x:c r="B7" s="18" t="str">
        <x:v>Critical</x:v>
      </x:c>
      <x:c r="C7" s="15" t="str">
        <x:v>Correct legal names and addresses on pack.</x:v>
      </x:c>
      <x:c r="D7" s="15" t="str">
        <x:v>Do not hide actual FBO role.</x:v>
      </x:c>
    </x:row>
    <x:row r="8" ht="15" hidden="0" customHeight="1">
      <x:c r="A8" s="15" t="str">
        <x:v>Ingredient list</x:v>
      </x:c>
      <x:c r="B8" s="18" t="str">
        <x:v>Critical</x:v>
      </x:c>
      <x:c r="C8" s="15" t="str">
        <x:v>All ingredients in required order and format.</x:v>
      </x:c>
      <x:c r="D8" s="15" t="str">
        <x:v>Include sweetener/flavor declarations.</x:v>
      </x:c>
    </x:row>
    <x:row r="9" ht="15" hidden="0" customHeight="1">
      <x:c r="A9" s="15" t="str">
        <x:v>Nutrition panel</x:v>
      </x:c>
      <x:c r="B9" s="18" t="str">
        <x:v>Critical</x:v>
      </x:c>
      <x:c r="C9" s="15" t="str">
        <x:v>Protein, calories, macros, serving size, and required nutrients.</x:v>
      </x:c>
      <x:c r="D9" s="15" t="str">
        <x:v>Must match formula/testing.</x:v>
      </x:c>
    </x:row>
    <x:row r="10" ht="15" hidden="0" customHeight="1">
      <x:c r="A10" s="15" t="str">
        <x:v>Allergen declaration</x:v>
      </x:c>
      <x:c r="B10" s="18" t="str">
        <x:v>Critical</x:v>
      </x:c>
      <x:c r="C10" s="15" t="str">
        <x:v>Milk/soy/gluten/nut cross-contact where applicable.</x:v>
      </x:c>
      <x:c r="D10" s="15" t="str">
        <x:v>Whey and soy need care.</x:v>
      </x:c>
    </x:row>
    <x:row r="11" ht="15" hidden="0" customHeight="1">
      <x:c r="A11" s="15" t="str">
        <x:v>Net quantity</x:v>
      </x:c>
      <x:c r="B11" s="18" t="str">
        <x:v>Critical</x:v>
      </x:c>
      <x:c r="C11" s="15" t="str">
        <x:v>500g, 1kg, or sachet net weight.</x:v>
      </x:c>
      <x:c r="D11" s="15" t="str">
        <x:v>Legal metrology requirement.</x:v>
      </x:c>
    </x:row>
    <x:row r="12" ht="15" hidden="0" customHeight="1">
      <x:c r="A12" s="15" t="str">
        <x:v>MRP</x:v>
      </x:c>
      <x:c r="B12" s="18" t="str">
        <x:v>Critical</x:v>
      </x:c>
      <x:c r="C12" s="15" t="str">
        <x:v>Retail sale price including taxes.</x:v>
      </x:c>
      <x:c r="D12" s="15" t="str">
        <x:v>Do not sell above MRP.</x:v>
      </x:c>
    </x:row>
    <x:row r="13" ht="15" hidden="0" customHeight="1">
      <x:c r="A13" s="15" t="str">
        <x:v>Batch/date details</x:v>
      </x:c>
      <x:c r="B13" s="18" t="str">
        <x:v>Critical</x:v>
      </x:c>
      <x:c r="C13" s="15" t="str">
        <x:v>Batch/lot, MFG date, EXP/best before.</x:v>
      </x:c>
      <x:c r="D13" s="15" t="str">
        <x:v>Needed for recall and marketplace listing.</x:v>
      </x:c>
    </x:row>
    <x:row r="14" ht="15" hidden="0" customHeight="1">
      <x:c r="A14" s="15" t="str">
        <x:v>Customer care</x:v>
      </x:c>
      <x:c r="B14" s="18" t="str">
        <x:v>High</x:v>
      </x:c>
      <x:c r="C14" s="15" t="str">
        <x:v>Complaint address, phone/email as applicable.</x:v>
      </x:c>
      <x:c r="D14" s="15" t="str">
        <x:v>Legal metrology/customer trust.</x:v>
      </x:c>
    </x:row>
    <x:row r="15" ht="15" hidden="0" customHeight="1">
      <x:c r="A15" s="15" t="str">
        <x:v>Usage instructions</x:v>
      </x:c>
      <x:c r="B15" s="18" t="str">
        <x:v>High</x:v>
      </x:c>
      <x:c r="C15" s="15" t="str">
        <x:v>Serving size, mixing instructions, storage.</x:v>
      </x:c>
      <x:c r="D15" s="15" t="str">
        <x:v>Avoid medical prescription style.</x:v>
      </x:c>
    </x:row>
    <x:row r="16" ht="26.399999618530273" hidden="0" customHeight="1">
      <x:c r="A16" s="15" t="str">
        <x:v>Claims</x:v>
      </x:c>
      <x:c r="B16" s="18" t="str">
        <x:v>Critical</x:v>
      </x:c>
      <x:c r="C16" s="15" t="str">
        <x:v>Avoid disease cure, guaranteed muscle gain, steroid-like or medical claims.</x:v>
      </x:c>
      <x:c r="D16" s="15" t="str">
        <x:v>Keep marketing honest.</x:v>
      </x:c>
    </x:row>
    <x:row r="17" ht="15" hidden="0" customHeight="1">
      <x:c r="A17" s="15" t="str">
        <x:v>COA storage</x:v>
      </x:c>
      <x:c r="B17" s="18" t="str">
        <x:v>Critical</x:v>
      </x:c>
      <x:c r="C17" s="15" t="str">
        <x:v>Keep batch-wise COA and invoices.</x:v>
      </x:c>
      <x:c r="D17" s="15" t="str">
        <x:v>Needed for gyms, marketplaces, complaints.</x:v>
      </x:c>
    </x:row>
    <x:row r="18" ht="15" hidden="0" customHeight="1">
      <x:c r="A18" s="15" t="str">
        <x:v>Marketplace docs</x:v>
      </x:c>
      <x:c r="B18" s="18" t="str">
        <x:v>High</x:v>
      </x:c>
      <x:c r="C18" s="15" t="str">
        <x:v>FSSAI, GST, label, product images, invoice trail.</x:v>
      </x:c>
      <x:c r="D18" s="15" t="str">
        <x:v>Prepare before listing.</x:v>
      </x:c>
    </x:row>
    <x:row r="19" ht="15" hidden="0" customHeight="1">
      <x:c r="A19" s="15" t="str">
        <x:v>Recall plan</x:v>
      </x:c>
      <x:c r="B19" s="18" t="str">
        <x:v>High</x:v>
      </x:c>
      <x:c r="C19" s="15" t="str">
        <x:v>Batch traceability and customer complaint escalation.</x:v>
      </x:c>
      <x:c r="D19" s="15" t="str">
        <x:v>Basic consumer safety control.</x:v>
      </x:c>
    </x:row>
    <x:row r="20" ht="15" hidden="0" customHeight="1">
      <x:c r="A20" s="15" t="str">
        <x:v>Vending hygiene</x:v>
      </x:c>
      <x:c r="B20" s="18" t="str">
        <x:v>Medium</x:v>
      </x:c>
      <x:c r="C20" s="15" t="str">
        <x:v>Only relevant if vending is used later.</x:v>
      </x:c>
      <x:c r="D20" s="15" t="str">
        <x:v>Cleaning/refill responsibility must be written.</x:v>
      </x:c>
    </x:row>
    <x:row r="21" ht="15" hidden="0" customHeight="1">
      <x:c r="A21" s="15" t="str">
        <x:v>Tax review</x:v>
      </x:c>
      <x:c r="B21" s="18" t="str">
        <x:v>High</x:v>
      </x:c>
      <x:c r="C21" s="15" t="str">
        <x:v>GST classification and invoices.</x:v>
      </x:c>
      <x:c r="D21" s="15" t="str">
        <x:v>Confirm with CA.</x:v>
      </x:c>
    </x:row>
    <x:row r="22" ht="15" hidden="0" customHeight="1">
      <x:c r="A22" s="15" t="str">
        <x:v>Legal review</x:v>
      </x:c>
      <x:c r="B22" s="18" t="str">
        <x:v>High</x:v>
      </x:c>
      <x:c r="C22" s="15" t="str">
        <x:v>Manufacturer agreement and label claims.</x:v>
      </x:c>
      <x:c r="D22" s="15" t="str">
        <x:v>Especially before large batch.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.559999465942383" hidden="0" customWidth="1"/>
    <x:col min="2" max="2" width="62.220001220703125" hidden="0" customWidth="1"/>
    <x:col min="3" max="3" width="50" hidden="0" customWidth="1"/>
  </x:cols>
  <x:sheetData>
    <x:row r="1" ht="19.200000762939453" hidden="0" customHeight="1">
      <x:c r="A1" s="4" t="str">
        <x:v>Sources And Research Notes</x:v>
      </x:c>
    </x:row>
    <x:row r="2" ht="15" hidden="0" customHeight="1">
      <x:c r="A2" s="6" t="str">
        <x:v>Plain URLs are included for audit. Replace model assumptions with actual manufacturer quotes before investment.</x:v>
      </x:c>
    </x:row>
    <x:row r="3"/>
    <x:row r="4" ht="15" hidden="0" customHeight="1">
      <x:c r="A4" s="10" t="str">
        <x:v>Source</x:v>
      </x:c>
      <x:c r="B4" s="11" t="str">
        <x:v>URL</x:v>
      </x:c>
      <x:c r="C4" s="12" t="str">
        <x:v>Use in workbook</x:v>
      </x:c>
    </x:row>
    <x:row r="5" ht="26.399999618530273" hidden="0" customHeight="1">
      <x:c r="A5" s="15" t="str">
        <x:v>FSSAI Health Supplements</x:v>
      </x:c>
      <x:c r="B5" s="15" t="str">
        <x:v>https://www.fssai.gov.in/standards/health-supplements?csrt=2254964916719751344</x:v>
      </x:c>
      <x:c r="C5" s="15" t="str">
        <x:v>Compliance reference for health supplement/nutraceutical positioning.</x:v>
      </x:c>
    </x:row>
    <x:row r="6" ht="26.399999618530273" hidden="0" customHeight="1">
      <x:c r="A6" s="15" t="str">
        <x:v>Legal Metrology Packaged Commodities</x:v>
      </x:c>
      <x:c r="B6" s="15" t="str">
        <x:v>https://consumeraffairs.gov.in/pages/legal-metrology-act</x:v>
      </x:c>
      <x:c r="C6" s="15" t="str">
        <x:v>Packaging declaration and MRP compliance reference.</x:v>
      </x:c>
    </x:row>
    <x:row r="7" ht="26.399999618530273" hidden="0" customHeight="1">
      <x:c r="A7" s="15" t="str">
        <x:v>MuscleBoxPro franchise</x:v>
      </x:c>
      <x:c r="B7" s="15" t="str">
        <x:v>https://www.muscleboxpro.com/franchise</x:v>
      </x:c>
      <x:c r="C7" s="15" t="str">
        <x:v>Case-study reference only; illustrates that franchise price and manufacturing cost are different things.</x:v>
      </x:c>
    </x:row>
    <x:row r="8" ht="15" hidden="0" customHeight="1">
      <x:c r="A8" s="15" t="str">
        <x:v>MuscleBoxPro main page</x:v>
      </x:c>
      <x:c r="B8" s="15" t="str">
        <x:v>https://www.muscleboxpro.com/</x:v>
      </x:c>
      <x:c r="C8" s="15" t="str">
        <x:v>Vending/shake market reference, not manufacturing requirement.</x:v>
      </x:c>
    </x:row>
    <x:row r="9" ht="15" hidden="0" customHeight="1">
      <x:c r="A9" s="15" t="str">
        <x:v>Vendekin gym vending</x:v>
      </x:c>
      <x:c r="B9" s="15" t="str">
        <x:v>https://www.vendekin.com/vending-machine-for-gyms</x:v>
      </x:c>
      <x:c r="C9" s="15" t="str">
        <x:v>Future vending channel reference.</x:v>
      </x:c>
    </x:row>
    <x:row r="10" ht="26.399999618530273" hidden="0" customHeight="1">
      <x:c r="A10" s="15" t="str">
        <x:v>Aajjo/Chefronics protein vending listing</x:v>
      </x:c>
      <x:c r="B10" s="15" t="str">
        <x:v>https://www.aajjo.com/product/protein-vending-machine-in-wadala-chefronics-technologies-pvt-ltd</x:v>
      </x:c>
      <x:c r="C10" s="15" t="str">
        <x:v>Future vending machine price reference.</x:v>
      </x:c>
    </x:row>
    <x:row r="11" ht="26.399999618530273" hidden="0" customHeight="1">
      <x:c r="A11" s="15" t="str">
        <x:v>NutraIngredients whey report</x:v>
      </x:c>
      <x:c r="B11" s="15" t="str">
        <x:v>https://www.nutraingredients.com/Article/2026/09/01/brands-weigh-impact-and-strategies-caused-by-whey-protein-price-hike/</x:v>
      </x:c>
      <x:c r="C11" s="15" t="str">
        <x:v>Whey raw material pressure and June 2026 INR 3,700/kg reference.</x:v>
      </x:c>
    </x:row>
    <x:row r="12" ht="15" hidden="0" customHeight="1">
      <x:c r="A12" s="15" t="str">
        <x:v>Muscle Nectar whey pricing note</x:v>
      </x:c>
      <x:c r="B12" s="15" t="str">
        <x:v>https://musclenectar.com/pages/why-whey-protein-prices-are-rising</x:v>
      </x:c>
      <x:c r="C12" s="15" t="str">
        <x:v>Conservative ₹4,000/kg raw whey assumption and context.</x:v>
      </x:c>
    </x:row>
    <x:row r="13" ht="26.399999618530273" hidden="0" customHeight="1">
      <x:c r="A13" s="15" t="str">
        <x:v>User-provided Instagram link</x:v>
      </x:c>
      <x:c r="B13" s="15" t="str">
        <x:v>https://www.instagram.com/proteinbotin?igsi=MTJpY3F1NnE2bTh0ag==</x:v>
      </x:c>
      <x:c r="C13" s="15" t="str">
        <x:v>Original case-study lead; not independently verified from public search.</x:v>
      </x:c>
    </x:row>
  </x:sheetData>
  <x:mergeCells>
    <x:mergeCell ref="A1:H1"/>
    <x:mergeCell ref="A2:H2"/>
  </x:mergeCells>
  <x:pageMargins left="0.7" right="0.7" top="0.75" bottom="0.75" header="0.3" footer="0.3"/>
</x:worksheet>
</file>